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SkillForge\static\templates\"/>
    </mc:Choice>
  </mc:AlternateContent>
  <xr:revisionPtr revIDLastSave="0" documentId="13_ncr:1_{4B39E423-3E30-4973-863F-CABC9FEB0F81}" xr6:coauthVersionLast="47" xr6:coauthVersionMax="47" xr10:uidLastSave="{00000000-0000-0000-0000-000000000000}"/>
  <bookViews>
    <workbookView xWindow="-108" yWindow="-108" windowWidth="23256" windowHeight="12456" tabRatio="773" xr2:uid="{59FED104-A5D7-4097-9487-3DBAD21BFAE6}"/>
  </bookViews>
  <sheets>
    <sheet name="Wo_JV" sheetId="8" r:id="rId1"/>
    <sheet name="Trainees" sheetId="11" r:id="rId2"/>
    <sheet name="WO_Data_Jr" sheetId="9" r:id="rId3"/>
  </sheets>
  <definedNames>
    <definedName name="A" localSheetId="2">WO_Data_Jr!$F$2:$F$106</definedName>
    <definedName name="A">#REF!</definedName>
    <definedName name="Aim" localSheetId="2">WO_Data_Jr!$C$2:$C$106</definedName>
    <definedName name="Aim">#REF!</definedName>
    <definedName name="AM" localSheetId="2">WO_Data_Jr!$G$2:$G$104</definedName>
    <definedName name="AM" localSheetId="0">#REF!</definedName>
    <definedName name="AM">#REF!</definedName>
    <definedName name="AspectMarks" localSheetId="0">Wo_JV!$AB$41:$AE$41</definedName>
    <definedName name="B" localSheetId="2">WO_Data_Jr!$H$2:$H$106</definedName>
    <definedName name="B">#REF!</definedName>
    <definedName name="BM" localSheetId="2">WO_Data_Jr!$I$2:$I$104</definedName>
    <definedName name="BM">#REF!</definedName>
    <definedName name="C_" localSheetId="2">WO_Data_Jr!$J$2:$J$106</definedName>
    <definedName name="C_">#REF!</definedName>
    <definedName name="CM" localSheetId="2">WO_Data_Jr!$K$2:$K$104</definedName>
    <definedName name="CM">#REF!</definedName>
    <definedName name="D" localSheetId="2">WO_Data_Jr!$L$2:$L$106</definedName>
    <definedName name="D">#REF!</definedName>
    <definedName name="DM" localSheetId="2">WO_Data_Jr!$M$2:$M$104</definedName>
    <definedName name="DM">#REF!</definedName>
    <definedName name="E" localSheetId="2">WO_Data_Jr!$N$2:$N$106</definedName>
    <definedName name="E">#REF!</definedName>
    <definedName name="EM" localSheetId="2">WO_Data_Jr!$O$2:$O$104</definedName>
    <definedName name="EM">#REF!</definedName>
    <definedName name="F" localSheetId="2">WO_Data_Jr!$P$2:$P$106</definedName>
    <definedName name="F">#REF!</definedName>
    <definedName name="FM" localSheetId="2">WO_Data_Jr!$Q$2:$Q$104</definedName>
    <definedName name="FM">#REF!</definedName>
    <definedName name="G" localSheetId="2">WO_Data_Jr!$R$2:$R$106</definedName>
    <definedName name="G">#REF!</definedName>
    <definedName name="GM" localSheetId="2">WO_Data_Jr!$S$2:$S$104</definedName>
    <definedName name="GM">#REF!</definedName>
    <definedName name="H" localSheetId="2">WO_Data_Jr!$T$2:$T$106</definedName>
    <definedName name="H">#REF!</definedName>
    <definedName name="HM" localSheetId="2">WO_Data_Jr!$U$2:$U$104</definedName>
    <definedName name="HM">#REF!</definedName>
    <definedName name="I" localSheetId="2">WO_Data_Jr!$V$2:$V$106</definedName>
    <definedName name="I">#REF!</definedName>
    <definedName name="IM" localSheetId="2">WO_Data_Jr!$W$2:$W$104</definedName>
    <definedName name="IM">#REF!</definedName>
    <definedName name="J" localSheetId="2">WO_Data_Jr!$X$2:$X$106</definedName>
    <definedName name="J">#REF!</definedName>
    <definedName name="JM" localSheetId="2">WO_Data_Jr!$Y$2:$Y$104</definedName>
    <definedName name="JM">#REF!</definedName>
    <definedName name="K" localSheetId="2">WO_Data_Jr!$AA$2:$AA$104</definedName>
    <definedName name="K">#REF!</definedName>
    <definedName name="KM" localSheetId="2">WO_Data_Jr!$AB$2:$AB$104</definedName>
    <definedName name="KM">#REF!</definedName>
    <definedName name="L" localSheetId="2">WO_Data_Jr!$AC$2:$AC$104</definedName>
    <definedName name="L">#REF!</definedName>
    <definedName name="LAM" localSheetId="0">Wo_JV!$AD$6</definedName>
    <definedName name="LBM" localSheetId="0">Wo_JV!$AD$7</definedName>
    <definedName name="LCM" localSheetId="0">Wo_JV!$AD$8</definedName>
    <definedName name="LDM" localSheetId="0">Wo_JV!$AD$9</definedName>
    <definedName name="LEM" localSheetId="0">Wo_JV!$AD$10</definedName>
    <definedName name="LFM" localSheetId="0">Wo_JV!$AD$11</definedName>
    <definedName name="LGM" localSheetId="0">Wo_JV!$AD$12</definedName>
    <definedName name="LHM" localSheetId="0">Wo_JV!$AD$13</definedName>
    <definedName name="LIM" localSheetId="0">Wo_JV!$AD$14</definedName>
    <definedName name="LJM" localSheetId="0">Wo_JV!$AD$15</definedName>
    <definedName name="LKM" localSheetId="0">Wo_JV!$AB$20</definedName>
    <definedName name="LLM" localSheetId="0">Wo_JV!$AB$21</definedName>
    <definedName name="LM" localSheetId="2">WO_Data_Jr!$AD$2:$AD$104</definedName>
    <definedName name="LM">#REF!</definedName>
    <definedName name="LMM" localSheetId="0">Wo_JV!$AB$22</definedName>
    <definedName name="LNM" localSheetId="0">Wo_JV!$AB$23</definedName>
    <definedName name="LOM" localSheetId="0">Wo_JV!$AB$24</definedName>
    <definedName name="LPM" localSheetId="0">Wo_JV!$Z$27</definedName>
    <definedName name="LQM" localSheetId="0">Wo_JV!$Z$28</definedName>
    <definedName name="LRM" localSheetId="0">Wo_JV!$Z$29</definedName>
    <definedName name="LSM" localSheetId="0">Wo_JV!$Z$30</definedName>
    <definedName name="LTol" localSheetId="0">Wo_JV!$Z$16</definedName>
    <definedName name="M" localSheetId="2">WO_Data_Jr!$AE$2:$AE$104</definedName>
    <definedName name="M">#REF!</definedName>
    <definedName name="MM" localSheetId="2">WO_Data_Jr!$AF$2:$AF$104</definedName>
    <definedName name="MM">#REF!</definedName>
    <definedName name="N" localSheetId="2">WO_Data_Jr!$AG$2:$AG$104</definedName>
    <definedName name="N">#REF!</definedName>
    <definedName name="NM" localSheetId="2">WO_Data_Jr!$AH$2:$AH$104</definedName>
    <definedName name="NM">#REF!</definedName>
    <definedName name="O" localSheetId="2">WO_Data_Jr!$AI$2:$AI$104</definedName>
    <definedName name="O">#REF!</definedName>
    <definedName name="ObjMarks" localSheetId="0">Wo_JV!$K$41:$T$41</definedName>
    <definedName name="OM" localSheetId="2">WO_Data_Jr!$AJ$2:$AJ$104</definedName>
    <definedName name="OM">#REF!</definedName>
    <definedName name="P" localSheetId="2">WO_Data_Jr!$AL$2:$AL$104</definedName>
    <definedName name="P">#REF!</definedName>
    <definedName name="PM" localSheetId="2">WO_Data_Jr!$AM$2:$AM$104</definedName>
    <definedName name="PM">#REF!</definedName>
    <definedName name="Q" localSheetId="2">WO_Data_Jr!$AN$2:$AN$104</definedName>
    <definedName name="Q">#REF!</definedName>
    <definedName name="QM" localSheetId="2">WO_Data_Jr!$AO$2:$AO$104</definedName>
    <definedName name="QM">#REF!</definedName>
    <definedName name="R_" localSheetId="2">WO_Data_Jr!$AP$2:$AP$104</definedName>
    <definedName name="R_">#REF!</definedName>
    <definedName name="RM" localSheetId="2">WO_Data_Jr!$AQ$2:$AQ$104</definedName>
    <definedName name="RM">#REF!</definedName>
    <definedName name="S" localSheetId="2">WO_Data_Jr!$AR$2:$AR$104</definedName>
    <definedName name="S">#REF!</definedName>
    <definedName name="SM" localSheetId="2">WO_Data_Jr!$AS$2:$AS$104</definedName>
    <definedName name="SM">#REF!</definedName>
    <definedName name="SubMarks" localSheetId="0">Wo_JV!$V$41:$Z$41</definedName>
    <definedName name="Tol" localSheetId="2">WO_Data_Jr!$E$2:$E$106</definedName>
    <definedName name="Tol">#REF!</definedName>
    <definedName name="TOT" localSheetId="2">WO_Data_Jr!$AU$2:$AU$104</definedName>
    <definedName name="TOT">#REF!</definedName>
    <definedName name="TOT1_" localSheetId="2">WO_Data_Jr!$Z$2:$Z$104</definedName>
    <definedName name="TOT1_" localSheetId="0">#REF!</definedName>
    <definedName name="TOT1_">#REF!</definedName>
    <definedName name="TOT2_" localSheetId="2">WO_Data_Jr!$AK$2:$AK$104</definedName>
    <definedName name="TOT2_">#REF!</definedName>
    <definedName name="TOT3_" localSheetId="2">WO_Data_Jr!$AT$2:$AT$104</definedName>
    <definedName name="TOT3_">#REF!</definedName>
    <definedName name="Trainees_Name">Trainees!$B$2:$B$1048576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3" i="8" l="1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AE42" i="8"/>
  <c r="AD42" i="8"/>
  <c r="AC42" i="8"/>
  <c r="AB42" i="8"/>
  <c r="Z42" i="8"/>
  <c r="Y42" i="8"/>
  <c r="X42" i="8"/>
  <c r="W42" i="8"/>
  <c r="V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42" i="8"/>
  <c r="N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42" i="8"/>
  <c r="E30" i="8"/>
  <c r="Z23" i="9"/>
  <c r="Z24" i="9"/>
  <c r="Z25" i="9"/>
  <c r="Z26" i="9"/>
  <c r="AU26" i="9" s="1"/>
  <c r="Z27" i="9"/>
  <c r="Z28" i="9"/>
  <c r="Z29" i="9"/>
  <c r="Z30" i="9"/>
  <c r="AU30" i="9" s="1"/>
  <c r="Z31" i="9"/>
  <c r="Z32" i="9"/>
  <c r="Z33" i="9"/>
  <c r="Z34" i="9"/>
  <c r="AU34" i="9" s="1"/>
  <c r="Z35" i="9"/>
  <c r="Z36" i="9"/>
  <c r="Z37" i="9"/>
  <c r="Z38" i="9"/>
  <c r="AU38" i="9" s="1"/>
  <c r="Z39" i="9"/>
  <c r="Z40" i="9"/>
  <c r="Z41" i="9"/>
  <c r="Z42" i="9"/>
  <c r="AU42" i="9" s="1"/>
  <c r="Z43" i="9"/>
  <c r="Z44" i="9"/>
  <c r="Z45" i="9"/>
  <c r="Z46" i="9"/>
  <c r="AU46" i="9" s="1"/>
  <c r="Z47" i="9"/>
  <c r="Z48" i="9"/>
  <c r="Z49" i="9"/>
  <c r="Z50" i="9"/>
  <c r="AU50" i="9" s="1"/>
  <c r="Z51" i="9"/>
  <c r="Z52" i="9"/>
  <c r="Z53" i="9"/>
  <c r="Z54" i="9"/>
  <c r="AU54" i="9" s="1"/>
  <c r="Z55" i="9"/>
  <c r="Z56" i="9"/>
  <c r="Z57" i="9"/>
  <c r="Z58" i="9"/>
  <c r="AU58" i="9" s="1"/>
  <c r="Z59" i="9"/>
  <c r="Z60" i="9"/>
  <c r="Z61" i="9"/>
  <c r="Z62" i="9"/>
  <c r="AU62" i="9" s="1"/>
  <c r="Z63" i="9"/>
  <c r="Z64" i="9"/>
  <c r="Z65" i="9"/>
  <c r="Z66" i="9"/>
  <c r="AU66" i="9" s="1"/>
  <c r="Z67" i="9"/>
  <c r="Z68" i="9"/>
  <c r="Z69" i="9"/>
  <c r="Z70" i="9"/>
  <c r="AU70" i="9" s="1"/>
  <c r="Z71" i="9"/>
  <c r="Z72" i="9"/>
  <c r="Z73" i="9"/>
  <c r="Z74" i="9"/>
  <c r="AU74" i="9" s="1"/>
  <c r="Z75" i="9"/>
  <c r="Z76" i="9"/>
  <c r="Z77" i="9"/>
  <c r="Z78" i="9"/>
  <c r="AU78" i="9" s="1"/>
  <c r="Z79" i="9"/>
  <c r="Z80" i="9"/>
  <c r="Z81" i="9"/>
  <c r="Z82" i="9"/>
  <c r="AU82" i="9" s="1"/>
  <c r="Z83" i="9"/>
  <c r="Z84" i="9"/>
  <c r="Z85" i="9"/>
  <c r="Z86" i="9"/>
  <c r="AU86" i="9" s="1"/>
  <c r="Z87" i="9"/>
  <c r="Z88" i="9"/>
  <c r="Z89" i="9"/>
  <c r="Z90" i="9"/>
  <c r="AU90" i="9" s="1"/>
  <c r="Z91" i="9"/>
  <c r="Z92" i="9"/>
  <c r="AU92" i="9" s="1"/>
  <c r="Z93" i="9"/>
  <c r="Z94" i="9"/>
  <c r="AU94" i="9" s="1"/>
  <c r="Z95" i="9"/>
  <c r="Z96" i="9"/>
  <c r="AU96" i="9" s="1"/>
  <c r="Z97" i="9"/>
  <c r="Z98" i="9"/>
  <c r="AU98" i="9" s="1"/>
  <c r="Z99" i="9"/>
  <c r="Z100" i="9"/>
  <c r="AU100" i="9" s="1"/>
  <c r="Z101" i="9"/>
  <c r="Z102" i="9"/>
  <c r="AU102" i="9" s="1"/>
  <c r="Z103" i="9"/>
  <c r="Z104" i="9"/>
  <c r="AU104" i="9" s="1"/>
  <c r="Z105" i="9"/>
  <c r="Z106" i="9"/>
  <c r="AU106" i="9" s="1"/>
  <c r="AT106" i="9"/>
  <c r="AK106" i="9"/>
  <c r="AU105" i="9"/>
  <c r="AT105" i="9"/>
  <c r="AK105" i="9"/>
  <c r="AT104" i="9"/>
  <c r="AK104" i="9"/>
  <c r="AU103" i="9"/>
  <c r="AT103" i="9"/>
  <c r="AK103" i="9"/>
  <c r="AT102" i="9"/>
  <c r="AK102" i="9"/>
  <c r="AU101" i="9"/>
  <c r="AT101" i="9"/>
  <c r="AK101" i="9"/>
  <c r="AT100" i="9"/>
  <c r="AK100" i="9"/>
  <c r="AU99" i="9"/>
  <c r="AT99" i="9"/>
  <c r="AK99" i="9"/>
  <c r="AT98" i="9"/>
  <c r="AK98" i="9"/>
  <c r="AU97" i="9"/>
  <c r="AT97" i="9"/>
  <c r="AK97" i="9"/>
  <c r="AT96" i="9"/>
  <c r="AK96" i="9"/>
  <c r="AU95" i="9"/>
  <c r="AT95" i="9"/>
  <c r="AK95" i="9"/>
  <c r="AT94" i="9"/>
  <c r="AK94" i="9"/>
  <c r="AU93" i="9"/>
  <c r="AT93" i="9"/>
  <c r="AK93" i="9"/>
  <c r="AT92" i="9"/>
  <c r="AK92" i="9"/>
  <c r="AU91" i="9"/>
  <c r="AT91" i="9"/>
  <c r="AK91" i="9"/>
  <c r="AT90" i="9"/>
  <c r="AK90" i="9"/>
  <c r="AU89" i="9"/>
  <c r="AT89" i="9"/>
  <c r="AK89" i="9"/>
  <c r="AU88" i="9"/>
  <c r="AT88" i="9"/>
  <c r="AK88" i="9"/>
  <c r="AU87" i="9"/>
  <c r="AT87" i="9"/>
  <c r="AK87" i="9"/>
  <c r="AT86" i="9"/>
  <c r="AK86" i="9"/>
  <c r="AU85" i="9"/>
  <c r="AT85" i="9"/>
  <c r="AK85" i="9"/>
  <c r="AU84" i="9"/>
  <c r="AT84" i="9"/>
  <c r="AK84" i="9"/>
  <c r="AU83" i="9"/>
  <c r="AT83" i="9"/>
  <c r="AK83" i="9"/>
  <c r="AT82" i="9"/>
  <c r="AK82" i="9"/>
  <c r="AU81" i="9"/>
  <c r="AT81" i="9"/>
  <c r="AK81" i="9"/>
  <c r="AU80" i="9"/>
  <c r="AT80" i="9"/>
  <c r="AK80" i="9"/>
  <c r="AU79" i="9"/>
  <c r="AT79" i="9"/>
  <c r="AK79" i="9"/>
  <c r="AT78" i="9"/>
  <c r="AK78" i="9"/>
  <c r="AU77" i="9"/>
  <c r="AT77" i="9"/>
  <c r="AK77" i="9"/>
  <c r="AU76" i="9"/>
  <c r="AT76" i="9"/>
  <c r="AK76" i="9"/>
  <c r="AU75" i="9"/>
  <c r="AT75" i="9"/>
  <c r="AK75" i="9"/>
  <c r="AT74" i="9"/>
  <c r="AK74" i="9"/>
  <c r="AU73" i="9"/>
  <c r="AT73" i="9"/>
  <c r="AK73" i="9"/>
  <c r="AU72" i="9"/>
  <c r="AT72" i="9"/>
  <c r="AK72" i="9"/>
  <c r="AU71" i="9"/>
  <c r="AT71" i="9"/>
  <c r="AK71" i="9"/>
  <c r="AT70" i="9"/>
  <c r="AK70" i="9"/>
  <c r="AU69" i="9"/>
  <c r="AT69" i="9"/>
  <c r="AK69" i="9"/>
  <c r="AU68" i="9"/>
  <c r="AT68" i="9"/>
  <c r="AK68" i="9"/>
  <c r="AU67" i="9"/>
  <c r="AT67" i="9"/>
  <c r="AK67" i="9"/>
  <c r="AT66" i="9"/>
  <c r="AK66" i="9"/>
  <c r="AU65" i="9"/>
  <c r="AT65" i="9"/>
  <c r="AK65" i="9"/>
  <c r="AU64" i="9"/>
  <c r="AT64" i="9"/>
  <c r="AK64" i="9"/>
  <c r="AU63" i="9"/>
  <c r="AT63" i="9"/>
  <c r="AK63" i="9"/>
  <c r="AT62" i="9"/>
  <c r="AK62" i="9"/>
  <c r="AU61" i="9"/>
  <c r="AT61" i="9"/>
  <c r="AK61" i="9"/>
  <c r="AU60" i="9"/>
  <c r="AT60" i="9"/>
  <c r="AK60" i="9"/>
  <c r="AU59" i="9"/>
  <c r="AT59" i="9"/>
  <c r="AK59" i="9"/>
  <c r="AT58" i="9"/>
  <c r="AK58" i="9"/>
  <c r="AU57" i="9"/>
  <c r="AT57" i="9"/>
  <c r="AK57" i="9"/>
  <c r="AU56" i="9"/>
  <c r="AT56" i="9"/>
  <c r="AK56" i="9"/>
  <c r="AU55" i="9"/>
  <c r="AT55" i="9"/>
  <c r="AK55" i="9"/>
  <c r="AT54" i="9"/>
  <c r="AK54" i="9"/>
  <c r="AU53" i="9"/>
  <c r="AT53" i="9"/>
  <c r="AK53" i="9"/>
  <c r="AU52" i="9"/>
  <c r="AT52" i="9"/>
  <c r="AK52" i="9"/>
  <c r="AU51" i="9"/>
  <c r="AT51" i="9"/>
  <c r="AK51" i="9"/>
  <c r="AT50" i="9"/>
  <c r="AK50" i="9"/>
  <c r="AU49" i="9"/>
  <c r="AT49" i="9"/>
  <c r="AK49" i="9"/>
  <c r="AU48" i="9"/>
  <c r="AT48" i="9"/>
  <c r="AK48" i="9"/>
  <c r="AU47" i="9"/>
  <c r="AT47" i="9"/>
  <c r="AK47" i="9"/>
  <c r="AT46" i="9"/>
  <c r="AK46" i="9"/>
  <c r="AU45" i="9"/>
  <c r="AT45" i="9"/>
  <c r="AK45" i="9"/>
  <c r="AU44" i="9"/>
  <c r="AT44" i="9"/>
  <c r="AK44" i="9"/>
  <c r="AU43" i="9"/>
  <c r="AT43" i="9"/>
  <c r="AK43" i="9"/>
  <c r="AT42" i="9"/>
  <c r="AK42" i="9"/>
  <c r="AU41" i="9"/>
  <c r="AT41" i="9"/>
  <c r="AK41" i="9"/>
  <c r="AU40" i="9"/>
  <c r="AT40" i="9"/>
  <c r="AK40" i="9"/>
  <c r="AU39" i="9"/>
  <c r="AT39" i="9"/>
  <c r="AK39" i="9"/>
  <c r="AT38" i="9"/>
  <c r="AK38" i="9"/>
  <c r="AU37" i="9"/>
  <c r="AT37" i="9"/>
  <c r="AK37" i="9"/>
  <c r="AU36" i="9"/>
  <c r="AT36" i="9"/>
  <c r="AK36" i="9"/>
  <c r="AU35" i="9"/>
  <c r="AT35" i="9"/>
  <c r="AK35" i="9"/>
  <c r="AT34" i="9"/>
  <c r="AK34" i="9"/>
  <c r="AU33" i="9"/>
  <c r="AT33" i="9"/>
  <c r="AK33" i="9"/>
  <c r="AU32" i="9"/>
  <c r="AT32" i="9"/>
  <c r="AK32" i="9"/>
  <c r="AU31" i="9"/>
  <c r="AT31" i="9"/>
  <c r="AK31" i="9"/>
  <c r="AT30" i="9"/>
  <c r="AK30" i="9"/>
  <c r="AU29" i="9"/>
  <c r="AT29" i="9"/>
  <c r="AK29" i="9"/>
  <c r="AU28" i="9"/>
  <c r="AT28" i="9"/>
  <c r="AK28" i="9"/>
  <c r="AU27" i="9"/>
  <c r="AT27" i="9"/>
  <c r="AK27" i="9"/>
  <c r="AT26" i="9"/>
  <c r="AK26" i="9"/>
  <c r="AU25" i="9"/>
  <c r="AT25" i="9"/>
  <c r="AK25" i="9"/>
  <c r="AU24" i="9"/>
  <c r="AT24" i="9"/>
  <c r="AK24" i="9"/>
  <c r="AT23" i="9"/>
  <c r="AK23" i="9"/>
  <c r="AU23" i="9"/>
  <c r="AU22" i="9"/>
  <c r="AT22" i="9"/>
  <c r="AK22" i="9"/>
  <c r="Z22" i="9"/>
  <c r="AU21" i="9"/>
  <c r="AT21" i="9"/>
  <c r="AK21" i="9"/>
  <c r="Z21" i="9"/>
  <c r="AU20" i="9"/>
  <c r="AT20" i="9"/>
  <c r="AK20" i="9"/>
  <c r="Z20" i="9"/>
  <c r="AU19" i="9"/>
  <c r="AT19" i="9"/>
  <c r="AK19" i="9"/>
  <c r="Z19" i="9"/>
  <c r="AU18" i="9"/>
  <c r="AT18" i="9"/>
  <c r="AK18" i="9"/>
  <c r="Z18" i="9"/>
  <c r="AU17" i="9"/>
  <c r="AT17" i="9"/>
  <c r="AK17" i="9"/>
  <c r="Z17" i="9"/>
  <c r="AU16" i="9"/>
  <c r="AT16" i="9"/>
  <c r="AK16" i="9"/>
  <c r="Z16" i="9"/>
  <c r="AU15" i="9"/>
  <c r="AT15" i="9"/>
  <c r="AK15" i="9"/>
  <c r="Z15" i="9"/>
  <c r="AU14" i="9"/>
  <c r="AT14" i="9"/>
  <c r="AK14" i="9"/>
  <c r="Z14" i="9"/>
  <c r="AU13" i="9"/>
  <c r="AT13" i="9"/>
  <c r="AK13" i="9"/>
  <c r="Z13" i="9"/>
  <c r="AU12" i="9"/>
  <c r="AT12" i="9"/>
  <c r="AK12" i="9"/>
  <c r="Z12" i="9"/>
  <c r="AU11" i="9"/>
  <c r="AT11" i="9"/>
  <c r="AK11" i="9"/>
  <c r="Z11" i="9"/>
  <c r="AU10" i="9"/>
  <c r="AT10" i="9"/>
  <c r="AK10" i="9"/>
  <c r="Z10" i="9"/>
  <c r="AU9" i="9"/>
  <c r="AT9" i="9"/>
  <c r="AK9" i="9"/>
  <c r="Z9" i="9"/>
  <c r="AU8" i="9"/>
  <c r="AT8" i="9"/>
  <c r="AK8" i="9"/>
  <c r="Z8" i="9"/>
  <c r="AU7" i="9"/>
  <c r="AT7" i="9"/>
  <c r="AK7" i="9"/>
  <c r="Z7" i="9"/>
  <c r="AU6" i="9"/>
  <c r="AT6" i="9"/>
  <c r="AK6" i="9"/>
  <c r="Z6" i="9"/>
  <c r="AU5" i="9"/>
  <c r="AT5" i="9"/>
  <c r="AK5" i="9"/>
  <c r="Z5" i="9"/>
  <c r="AU4" i="9"/>
  <c r="AT4" i="9"/>
  <c r="AK4" i="9"/>
  <c r="Z4" i="9"/>
  <c r="AU3" i="9"/>
  <c r="AT3" i="9"/>
  <c r="AK3" i="9"/>
  <c r="Z3" i="9"/>
  <c r="AU2" i="9"/>
  <c r="AT2" i="9"/>
  <c r="AK2" i="9"/>
  <c r="Z2" i="9"/>
  <c r="A2" i="11"/>
  <c r="A2" i="11" a="1"/>
  <c r="A64" i="8"/>
  <c r="AE41" i="8"/>
  <c r="AD41" i="8"/>
  <c r="AC41" i="8"/>
  <c r="AB41" i="8"/>
  <c r="Z41" i="8"/>
  <c r="Y41" i="8"/>
  <c r="X41" i="8"/>
  <c r="W41" i="8"/>
  <c r="V41" i="8"/>
  <c r="T41" i="8"/>
  <c r="S41" i="8"/>
  <c r="R41" i="8"/>
  <c r="Q41" i="8"/>
  <c r="P41" i="8"/>
  <c r="O41" i="8"/>
  <c r="N41" i="8"/>
  <c r="M41" i="8"/>
  <c r="L41" i="8"/>
  <c r="K41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AG16" i="8"/>
  <c r="AF16" i="8"/>
  <c r="AE16" i="8"/>
  <c r="AD16" i="8"/>
  <c r="AC16" i="8"/>
  <c r="AB16" i="8"/>
  <c r="AA16" i="8"/>
  <c r="Y16" i="8"/>
  <c r="X16" i="8"/>
  <c r="W16" i="8"/>
  <c r="V16" i="8"/>
  <c r="U16" i="8"/>
  <c r="T16" i="8"/>
  <c r="S16" i="8"/>
  <c r="AF59" i="8" l="1"/>
  <c r="U42" i="8"/>
  <c r="U43" i="8"/>
  <c r="AA58" i="8"/>
  <c r="AA60" i="8"/>
  <c r="U61" i="8"/>
  <c r="AF61" i="8"/>
  <c r="AF60" i="8"/>
  <c r="AF58" i="8"/>
  <c r="AA61" i="8"/>
  <c r="U58" i="8"/>
  <c r="U59" i="8"/>
  <c r="AA59" i="8"/>
  <c r="U60" i="8"/>
  <c r="AF45" i="8"/>
  <c r="AF57" i="8"/>
  <c r="AF53" i="8"/>
  <c r="AF54" i="8"/>
  <c r="AF49" i="8"/>
  <c r="AF44" i="8"/>
  <c r="AF52" i="8"/>
  <c r="AF43" i="8"/>
  <c r="AF47" i="8"/>
  <c r="AF51" i="8"/>
  <c r="AF55" i="8"/>
  <c r="AF41" i="8"/>
  <c r="AF48" i="8"/>
  <c r="AF56" i="8"/>
  <c r="AF42" i="8"/>
  <c r="AF46" i="8"/>
  <c r="AF50" i="8"/>
  <c r="AA41" i="8"/>
  <c r="AA57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U51" i="8"/>
  <c r="U52" i="8"/>
  <c r="U44" i="8"/>
  <c r="U54" i="8"/>
  <c r="U47" i="8"/>
  <c r="U41" i="8"/>
  <c r="U48" i="8"/>
  <c r="U56" i="8"/>
  <c r="U55" i="8"/>
  <c r="U45" i="8"/>
  <c r="U49" i="8"/>
  <c r="U53" i="8"/>
  <c r="U57" i="8"/>
  <c r="U46" i="8"/>
  <c r="U50" i="8"/>
  <c r="AG61" i="8" l="1"/>
  <c r="AG58" i="8"/>
  <c r="AG60" i="8"/>
  <c r="AG59" i="8"/>
  <c r="AG53" i="8"/>
  <c r="AG41" i="8"/>
  <c r="AG56" i="8"/>
  <c r="AG42" i="8"/>
  <c r="AG57" i="8"/>
  <c r="AG46" i="8"/>
  <c r="AG54" i="8"/>
  <c r="AG52" i="8"/>
  <c r="AG44" i="8"/>
  <c r="AG43" i="8"/>
  <c r="AG50" i="8"/>
  <c r="AG55" i="8"/>
  <c r="AG47" i="8"/>
  <c r="AG51" i="8"/>
  <c r="AG49" i="8"/>
  <c r="AG45" i="8"/>
  <c r="AG4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<sst xmlns="http://schemas.openxmlformats.org/spreadsheetml/2006/main" count="977" uniqueCount="326">
  <si>
    <t>Jr</t>
  </si>
  <si>
    <t>Open curved profile filing</t>
  </si>
  <si>
    <t>Open curved profile fitting</t>
  </si>
  <si>
    <t>Chain drilling</t>
  </si>
  <si>
    <t>Circular filing</t>
  </si>
  <si>
    <t>Circular fitting</t>
  </si>
  <si>
    <t>Inside rectangle and open slot filing</t>
  </si>
  <si>
    <t>Inside rectangle and open slot fitting</t>
  </si>
  <si>
    <t>V' and 'U' filing</t>
  </si>
  <si>
    <t>V' and 'U' fitting</t>
  </si>
  <si>
    <t>Slotting and radius filing</t>
  </si>
  <si>
    <t>Slot and radius fitting</t>
  </si>
  <si>
    <t>Concave and square corner filing</t>
  </si>
  <si>
    <t>Concave, Convex and square corner fitting</t>
  </si>
  <si>
    <t>Square and circular filing</t>
  </si>
  <si>
    <t>Square and circular fitting</t>
  </si>
  <si>
    <t>Hex, Semi-circle and key filing</t>
  </si>
  <si>
    <t>Hex, Semi-circle and key fitting</t>
  </si>
  <si>
    <t>Double convex and tongue filing</t>
  </si>
  <si>
    <t>Double convex and tongue fitting</t>
  </si>
  <si>
    <t>Internal plus filing</t>
  </si>
  <si>
    <t>Internal plus fitting</t>
  </si>
  <si>
    <t>Trapezoidal filing</t>
  </si>
  <si>
    <t>Trapezoidal fitting</t>
  </si>
  <si>
    <t>J and Rectangle filing</t>
  </si>
  <si>
    <t>J and Rectangle fitting</t>
  </si>
  <si>
    <t>Arrow filing</t>
  </si>
  <si>
    <t>Arrow fitting</t>
  </si>
  <si>
    <t>Angular and Radius filing</t>
  </si>
  <si>
    <t>Angular and Radius fitting</t>
  </si>
  <si>
    <t>L and Angular filing</t>
  </si>
  <si>
    <t>L and Angular fitting</t>
  </si>
  <si>
    <t>F Filing</t>
  </si>
  <si>
    <t>F Fitting</t>
  </si>
  <si>
    <t xml:space="preserve">T, Radius and angular filing </t>
  </si>
  <si>
    <t xml:space="preserve">T, Radius and angular fitting </t>
  </si>
  <si>
    <t>V and semi circle filing</t>
  </si>
  <si>
    <t>V and semi circle fitting</t>
  </si>
  <si>
    <t>Double V and small radius filing</t>
  </si>
  <si>
    <t>Double V and small radius fitting</t>
  </si>
  <si>
    <t>Semicircle corner filing</t>
  </si>
  <si>
    <t>Semicircle corner fitting</t>
  </si>
  <si>
    <t>Aim</t>
  </si>
  <si>
    <t>Marking</t>
  </si>
  <si>
    <t>Hacksawing</t>
  </si>
  <si>
    <t>Filing</t>
  </si>
  <si>
    <t>Finishing</t>
  </si>
  <si>
    <t>E:\My_ITI_Records_Automotion\2yrJoobImages\Picture1.jpg</t>
  </si>
  <si>
    <t>9.5T</t>
  </si>
  <si>
    <t>R12</t>
  </si>
  <si>
    <t>Radius filing</t>
  </si>
  <si>
    <t>Safety</t>
  </si>
  <si>
    <t>House keeping</t>
  </si>
  <si>
    <t>Initiative</t>
  </si>
  <si>
    <t>Co-operation</t>
  </si>
  <si>
    <t>E:\My_ITI_Records_Automotion\2yrJoobImages\Picture2.jpg</t>
  </si>
  <si>
    <t>Fitting</t>
  </si>
  <si>
    <t>E:\My_ITI_Records_Automotion\2yrJoobImages\Picture3.jpg</t>
  </si>
  <si>
    <t>Drilling</t>
  </si>
  <si>
    <t>Chipping</t>
  </si>
  <si>
    <t>E:\My_ITI_Records_Automotion\2yrJoobImages\Picture4.jpg</t>
  </si>
  <si>
    <t>D24</t>
  </si>
  <si>
    <t>Roundness</t>
  </si>
  <si>
    <t>E:\My_ITI_Records_Automotion\2yrJoobImages\Picture5.jpg</t>
  </si>
  <si>
    <t>E:\My_ITI_Records_Automotion\2yrJoobImages\Picture6.jpg</t>
  </si>
  <si>
    <t>Filing and Finishing</t>
  </si>
  <si>
    <t>E:\My_ITI_Records_Automotion\2yrJoobImages\Picture7.jpg</t>
  </si>
  <si>
    <t>E:\My_ITI_Records_Automotion\2yrJoobImages\Picture8.jpg</t>
  </si>
  <si>
    <t>E:\My_ITI_Records_Automotion\2yrJoobImages\Picture9.jpg</t>
  </si>
  <si>
    <t>E:\My_ITI_Records_Automotion\2yrJoobImages\Picture10.jpg</t>
  </si>
  <si>
    <t>E:\My_ITI_Records_Automotion\2yrJoobImages\Picture11.jpg</t>
  </si>
  <si>
    <t>E:\My_ITI_Records_Automotion\2yrJoobImages\Picture12.jpg</t>
  </si>
  <si>
    <t>Squareness</t>
  </si>
  <si>
    <t>E:\My_ITI_Records_Automotion\2yrJoobImages\Picture13.jpg</t>
  </si>
  <si>
    <t>E:\My_ITI_Records_Automotion\2yrJoobImages\Picture14.jpg</t>
  </si>
  <si>
    <t>E:\My_ITI_Records_Automotion\2yrJoobImages\Picture15.jpg</t>
  </si>
  <si>
    <t>E:\My_ITI_Records_Automotion\2yrJoobImages\Picture16.jpg</t>
  </si>
  <si>
    <t>E:\My_ITI_Records_Automotion\2yrJoobImages\Picture17.jpg</t>
  </si>
  <si>
    <t>E:\My_ITI_Records_Automotion\2yrJoobImages\Picture18.jpg</t>
  </si>
  <si>
    <t>E:\My_ITI_Records_Automotion\2yrJoobImages\Picture19.jpg</t>
  </si>
  <si>
    <t>E:\My_ITI_Records_Automotion\2yrJoobImages\Picture20.jpg</t>
  </si>
  <si>
    <t>E:\My_ITI_Records_Automotion\2yrJoobImages\Picture21.jpg</t>
  </si>
  <si>
    <t>E:\My_ITI_Records_Automotion\2yrJoobImages\Picture22.jpg</t>
  </si>
  <si>
    <t>E:\My_ITI_Records_Automotion\2yrJoobImages\Picture23.jpg</t>
  </si>
  <si>
    <t>E:\My_ITI_Records_Automotion\2yrJoobImages\Picture24.jpg</t>
  </si>
  <si>
    <t>E:\My_ITI_Records_Automotion\2yrJoobImages\Picture25.jpg</t>
  </si>
  <si>
    <t>E:\My_ITI_Records_Automotion\2yrJoobImages\Picture26.jpg</t>
  </si>
  <si>
    <t>E:\My_ITI_Records_Automotion\2yrJoobImages\Picture27.jpg</t>
  </si>
  <si>
    <t>E:\My_ITI_Records_Automotion\2yrJoobImages\Picture28.jpg</t>
  </si>
  <si>
    <t>E:\My_ITI_Records_Automotion\2yrJoobImages\Picture29.jpg</t>
  </si>
  <si>
    <t>E:\My_ITI_Records_Automotion\2yrJoobImages\Picture30.jpg</t>
  </si>
  <si>
    <t>Angular filing</t>
  </si>
  <si>
    <t>E:\My_ITI_Records_Automotion\2yrJoobImages\Picture31.jpg</t>
  </si>
  <si>
    <t>filing</t>
  </si>
  <si>
    <t>E:\My_ITI_Records_Automotion\2yrJoobImages\Picture32.jpg</t>
  </si>
  <si>
    <t>E:\My_ITI_Records_Automotion\2yrJoobImages\Picture33.jpg</t>
  </si>
  <si>
    <t>E:\My_ITI_Records_Automotion\2yrJoobImages\Picture34.jpg</t>
  </si>
  <si>
    <t>E:\My_ITI_Records_Automotion\2yrJoobImages\Picture35.jpg</t>
  </si>
  <si>
    <t>E:\My_ITI_Records_Automotion\2yrJoobImages\Picture36.jpg</t>
  </si>
  <si>
    <t>E:\My_ITI_Records_Automotion\2yrJoobImages\Picture37.jpg</t>
  </si>
  <si>
    <t>fitting</t>
  </si>
  <si>
    <t>E:\My_ITI_Records_Automotion\2yrJoobImages\Picture38.jpg</t>
  </si>
  <si>
    <t>E:\My_ITI_Records_Automotion\2yrJoobImages\Picture39.jpg</t>
  </si>
  <si>
    <t>E:\My_ITI_Records_Automotion\2yrJoobImages\Picture40.jpg</t>
  </si>
  <si>
    <t>E:\My_ITI_Records_Automotion\2yrJoobImages\Picture41.jpg</t>
  </si>
  <si>
    <t>E:\My_ITI_Records_Automotion\2yrJoobImages\Picture42.jpg</t>
  </si>
  <si>
    <t>E:\My_ITI_Records_Automotion\2yrJoobImages\Picture43.jpg</t>
  </si>
  <si>
    <t>E:\My_ITI_Records_Automotion\2yrJoobImages\Picture44.jpg</t>
  </si>
  <si>
    <t>E:\My_ITI_Records_Automotion\2yrJoobImages\Picture45.jpg</t>
  </si>
  <si>
    <t>E:\My_ITI_Records_Automotion\2yrJoobImages\Picture46.jpg</t>
  </si>
  <si>
    <t>E:\My_ITI_Records_Automotion\2yrJoobImages\Picture47.jpg</t>
  </si>
  <si>
    <t>E:\My_ITI_Records_Automotion\2yrJoobImages\Picture48.jpg</t>
  </si>
  <si>
    <t>E:\My_ITI_Records_Automotion\2yrJoobImages\Picture49.jpg</t>
  </si>
  <si>
    <t>E:\My_ITI_Records_Automotion\2yrJoobImages\Picture50.jpg</t>
  </si>
  <si>
    <t>E:\My_ITI_Records_Automotion\2yrJoobImages\Picture51.jpg</t>
  </si>
  <si>
    <t>E:\My_ITI_Records_Automotion\2yrJoobImages\Picture52.jpg</t>
  </si>
  <si>
    <t>Year</t>
  </si>
  <si>
    <t>ExNo.</t>
  </si>
  <si>
    <t>Job</t>
  </si>
  <si>
    <t>Tol</t>
  </si>
  <si>
    <t>A</t>
  </si>
  <si>
    <t>AM</t>
  </si>
  <si>
    <t>B</t>
  </si>
  <si>
    <t>BM</t>
  </si>
  <si>
    <t>C</t>
  </si>
  <si>
    <t>CM</t>
  </si>
  <si>
    <t>D</t>
  </si>
  <si>
    <t>DM</t>
  </si>
  <si>
    <t>E</t>
  </si>
  <si>
    <t>EM</t>
  </si>
  <si>
    <t>F</t>
  </si>
  <si>
    <t>FM</t>
  </si>
  <si>
    <t>G</t>
  </si>
  <si>
    <t>GM</t>
  </si>
  <si>
    <t>H</t>
  </si>
  <si>
    <t>HM</t>
  </si>
  <si>
    <t>I</t>
  </si>
  <si>
    <t>IM</t>
  </si>
  <si>
    <t>J</t>
  </si>
  <si>
    <t>JM</t>
  </si>
  <si>
    <t>TOT1</t>
  </si>
  <si>
    <t>K</t>
  </si>
  <si>
    <t>KM</t>
  </si>
  <si>
    <t>L</t>
  </si>
  <si>
    <t>LM</t>
  </si>
  <si>
    <t>M</t>
  </si>
  <si>
    <t>MM</t>
  </si>
  <si>
    <t>N</t>
  </si>
  <si>
    <t>NM</t>
  </si>
  <si>
    <t>O</t>
  </si>
  <si>
    <t>OM</t>
  </si>
  <si>
    <t>TOT2</t>
  </si>
  <si>
    <t>P</t>
  </si>
  <si>
    <t>PM</t>
  </si>
  <si>
    <t>Q</t>
  </si>
  <si>
    <t>QM</t>
  </si>
  <si>
    <t>R</t>
  </si>
  <si>
    <t>RM</t>
  </si>
  <si>
    <t>S</t>
  </si>
  <si>
    <t>SM</t>
  </si>
  <si>
    <t>TOT3</t>
  </si>
  <si>
    <t>TOT</t>
  </si>
  <si>
    <t>Column1</t>
  </si>
  <si>
    <t>Identify tools, equipment and machinery</t>
  </si>
  <si>
    <t>E:\My_ITI_Records_Automotion\1yrJobImages\Picture1.jpg</t>
  </si>
  <si>
    <t>Identification of PPE</t>
  </si>
  <si>
    <t>E:\My_ITI_Records_Automotion\1yrJobImages\Picture2.jpg</t>
  </si>
  <si>
    <t>Record the precuations to be fallowed</t>
  </si>
  <si>
    <t>E:\My_ITI_Records_Automotion\1yrJobImages\Picture3.jpg</t>
  </si>
  <si>
    <t>Identification of safety signs and record its meaning</t>
  </si>
  <si>
    <t>E:\My_ITI_Records_Automotion\1yrJobImages\Picture4.jpg</t>
  </si>
  <si>
    <t>Safe use of tool and equipment</t>
  </si>
  <si>
    <t>E:\My_ITI_Records_Automotion\1yrJobImages\Picture5.jpg</t>
  </si>
  <si>
    <t>Identify the tool/instrument and record its use</t>
  </si>
  <si>
    <t>E:\My_ITI_Records_Automotion\1yrJobImages\Picture6.jpg</t>
  </si>
  <si>
    <t>Identify the material used and its basic property</t>
  </si>
  <si>
    <t>E:\My_ITI_Records_Automotion\1yrJobImages\Picture7.jpg</t>
  </si>
  <si>
    <t>Raw material cutting</t>
  </si>
  <si>
    <t>E:\My_ITI_Records_Automotion\1yrJobImages\Picture8.jpg</t>
  </si>
  <si>
    <t>Punching</t>
  </si>
  <si>
    <t>Surface filing</t>
  </si>
  <si>
    <t>E:\My_ITI_Records_Automotion\1yrJobImages\Picture9.jpg</t>
  </si>
  <si>
    <t>Flatness</t>
  </si>
  <si>
    <t>Edge filing</t>
  </si>
  <si>
    <t>E:\My_ITI_Records_Automotion\1yrJobImages\Picture10.jpg</t>
  </si>
  <si>
    <t>Marking parallel lines</t>
  </si>
  <si>
    <t>E:\My_ITI_Records_Automotion\1yrJobImages\Picture11.jpg</t>
  </si>
  <si>
    <t>Sq. 74</t>
  </si>
  <si>
    <t>Sq. 64</t>
  </si>
  <si>
    <t>Sq. 44</t>
  </si>
  <si>
    <t>Sq. 14</t>
  </si>
  <si>
    <t>Instrument setting</t>
  </si>
  <si>
    <t>Marking "Z"</t>
  </si>
  <si>
    <t>E:\My_ITI_Records_Automotion\1yrJobImages\Picture12.jpg</t>
  </si>
  <si>
    <t>Sq. 73</t>
  </si>
  <si>
    <t>marking</t>
  </si>
  <si>
    <t>Marking arcs and circles</t>
  </si>
  <si>
    <t>E:\My_ITI_Records_Automotion\1yrJobImages\Picture13.jpg</t>
  </si>
  <si>
    <t>Circles</t>
  </si>
  <si>
    <t>Arcs</t>
  </si>
  <si>
    <t>Dist. Btw Cen.</t>
  </si>
  <si>
    <t>Marking straight lines, arcs and circles</t>
  </si>
  <si>
    <t>E:\My_ITI_Records_Automotion\1yrJobImages\Picture14.jpg</t>
  </si>
  <si>
    <t>Sq. 71</t>
  </si>
  <si>
    <t>Rect. Slot</t>
  </si>
  <si>
    <t>Fillets</t>
  </si>
  <si>
    <t>Cen. Dist. And Cens.</t>
  </si>
  <si>
    <t>E:\My_ITI_Records_Automotion\1yrJobImages\Picture15.jpg</t>
  </si>
  <si>
    <t>E:\My_ITI_Records_Automotion\1yrJobImages\Picture16.jpg</t>
  </si>
  <si>
    <t>E:\My_ITI_Records_Automotion\1yrJobImages\Picture17.jpg</t>
  </si>
  <si>
    <t>E:\My_ITI_Records_Automotion\1yrJobImages\Picture18.jpg</t>
  </si>
  <si>
    <t>E:\My_ITI_Records_Automotion\1yrJobImages\Picture19.jpg</t>
  </si>
  <si>
    <t>E:\My_ITI_Records_Automotion\1yrJobImages\Picture20.jpg</t>
  </si>
  <si>
    <t>E:\My_ITI_Records_Automotion\1yrJobImages\Picture21.jpg</t>
  </si>
  <si>
    <t>E:\My_ITI_Records_Automotion\1yrJobImages\Picture22.jpg</t>
  </si>
  <si>
    <t>E:\My_ITI_Records_Automotion\1yrJobImages\Picture23.jpg</t>
  </si>
  <si>
    <t>E:\My_ITI_Records_Automotion\1yrJobImages\Picture24.jpg</t>
  </si>
  <si>
    <t>E:\My_ITI_Records_Automotion\1yrJobImages\Picture25.jpg</t>
  </si>
  <si>
    <t>E:\My_ITI_Records_Automotion\1yrJobImages\Picture26.jpg</t>
  </si>
  <si>
    <t>E:\My_ITI_Records_Automotion\1yrJobImages\Picture27.jpg</t>
  </si>
  <si>
    <t>E:\My_ITI_Records_Automotion\1yrJobImages\Picture28.jpg</t>
  </si>
  <si>
    <t>E:\My_ITI_Records_Automotion\1yrJobImages\Picture29.jpg</t>
  </si>
  <si>
    <t>E:\My_ITI_Records_Automotion\1yrJobImages\Picture30.jpg</t>
  </si>
  <si>
    <t>E:\My_ITI_Records_Automotion\1yrJobImages\Picture31.jpg</t>
  </si>
  <si>
    <t>E:\My_ITI_Records_Automotion\1yrJobImages\Picture32.jpg</t>
  </si>
  <si>
    <t>E:\My_ITI_Records_Automotion\1yrJobImages\Picture33.jpg</t>
  </si>
  <si>
    <t>E:\My_ITI_Records_Automotion\1yrJobImages\Picture34.jpg</t>
  </si>
  <si>
    <t>E:\My_ITI_Records_Automotion\1yrJobImages\Picture35.jpg</t>
  </si>
  <si>
    <t>E:\My_ITI_Records_Automotion\1yrJobImages\Picture36.jpg</t>
  </si>
  <si>
    <t>E:\My_ITI_Records_Automotion\1yrJobImages\Picture37.jpg</t>
  </si>
  <si>
    <t>E:\My_ITI_Records_Automotion\1yrJobImages\Picture38.jpg</t>
  </si>
  <si>
    <t>E:\My_ITI_Records_Automotion\1yrJobImages\Picture39.jpg</t>
  </si>
  <si>
    <t>E:\My_ITI_Records_Automotion\1yrJobImages\Picture40.jpg</t>
  </si>
  <si>
    <t>E:\My_ITI_Records_Automotion\1yrJobImages\Picture41.jpg</t>
  </si>
  <si>
    <t>E:\My_ITI_Records_Automotion\1yrJobImages\Picture42.jpg</t>
  </si>
  <si>
    <t>E:\My_ITI_Records_Automotion\1yrJobImages\Picture43.jpg</t>
  </si>
  <si>
    <t>E:\My_ITI_Records_Automotion\1yrJobImages\Picture44.jpg</t>
  </si>
  <si>
    <t>E:\My_ITI_Records_Automotion\1yrJobImages\Picture45.jpg</t>
  </si>
  <si>
    <t>E:\My_ITI_Records_Automotion\1yrJobImages\Picture46.jpg</t>
  </si>
  <si>
    <t>E:\My_ITI_Records_Automotion\1yrJobImages\Picture47.jpg</t>
  </si>
  <si>
    <t>E:\My_ITI_Records_Automotion\1yrJobImages\Picture48.jpg</t>
  </si>
  <si>
    <t>E:\My_ITI_Records_Automotion\1yrJobImages\Picture49.jpg</t>
  </si>
  <si>
    <t>E:\My_ITI_Records_Automotion\1yrJobImages\Picture50.jpg</t>
  </si>
  <si>
    <t>E:\My_ITI_Records_Automotion\1yrJobImages\Picture51.jpg</t>
  </si>
  <si>
    <t>E:\My_ITI_Records_Automotion\1yrJobImages\Picture52.jpg</t>
  </si>
  <si>
    <t xml:space="preserve">Trade: </t>
  </si>
  <si>
    <t>Unit</t>
  </si>
  <si>
    <t>Aim:</t>
  </si>
  <si>
    <t>OBJECTIVE FEATURES</t>
  </si>
  <si>
    <t>DIMENSIONS</t>
  </si>
  <si>
    <t>TOLERANCE</t>
  </si>
  <si>
    <t>MARKS</t>
  </si>
  <si>
    <t>SCORE</t>
  </si>
  <si>
    <t>TOL</t>
  </si>
  <si>
    <t>SUBJECTIVE FEATURES</t>
  </si>
  <si>
    <t>FEATURES</t>
  </si>
  <si>
    <t>ATTITUDE</t>
  </si>
  <si>
    <t>ASPECTS</t>
  </si>
  <si>
    <t>Tolerance</t>
  </si>
  <si>
    <r>
      <rPr>
        <sz val="11"/>
        <color theme="1"/>
        <rFont val="Calibri"/>
        <family val="2"/>
      </rPr>
      <t>±</t>
    </r>
    <r>
      <rPr>
        <sz val="7.7"/>
        <color theme="1"/>
        <rFont val="Calibri"/>
        <family val="2"/>
      </rPr>
      <t xml:space="preserve"> </t>
    </r>
  </si>
  <si>
    <t>All dimensions are in mm.</t>
  </si>
  <si>
    <t>JTO</t>
  </si>
  <si>
    <t>TO</t>
  </si>
  <si>
    <t>Principal</t>
  </si>
  <si>
    <t>Sl.No.</t>
  </si>
  <si>
    <t>Material required</t>
  </si>
  <si>
    <t>No. of Trainees</t>
  </si>
  <si>
    <t>Total</t>
  </si>
  <si>
    <t>Indent No. and Date</t>
  </si>
  <si>
    <t>Remarks</t>
  </si>
  <si>
    <t>JOB EVALUATION SHEET</t>
  </si>
  <si>
    <t>Trainees Names</t>
  </si>
  <si>
    <t>Tot</t>
  </si>
  <si>
    <t>Gr</t>
  </si>
  <si>
    <t xml:space="preserve">      Exercise No. :</t>
  </si>
  <si>
    <t>Trainees Name</t>
  </si>
  <si>
    <t>Grade</t>
  </si>
  <si>
    <t>Marking accordign to the blue print and locating the position of hole</t>
  </si>
  <si>
    <t>Line</t>
  </si>
  <si>
    <t>Center Dist</t>
  </si>
  <si>
    <t>Marking location of holes on PCD</t>
  </si>
  <si>
    <t>PCD30</t>
  </si>
  <si>
    <t>Circle centers</t>
  </si>
  <si>
    <t>Instrument handling</t>
  </si>
  <si>
    <t>Marking punching and hacksawing along straight lines</t>
  </si>
  <si>
    <t>Marming, Punching and Step Cutting</t>
  </si>
  <si>
    <t>Step 1</t>
  </si>
  <si>
    <t>Step2</t>
  </si>
  <si>
    <t>Step3</t>
  </si>
  <si>
    <t>Relief groove cutting and Step filing</t>
  </si>
  <si>
    <t>Sq12</t>
  </si>
  <si>
    <t>13X12</t>
  </si>
  <si>
    <t>14X12</t>
  </si>
  <si>
    <t>Relief groove cutting</t>
  </si>
  <si>
    <t>Squareness and Finish</t>
  </si>
  <si>
    <t>Thickness 9</t>
  </si>
  <si>
    <t>Square slot filing</t>
  </si>
  <si>
    <t>D10</t>
  </si>
  <si>
    <t>D8</t>
  </si>
  <si>
    <t>D6</t>
  </si>
  <si>
    <t>Markig</t>
  </si>
  <si>
    <t>Square filing</t>
  </si>
  <si>
    <t>PARASAPPA C AMBIGER</t>
  </si>
  <si>
    <t>BEERAPPA S BELAVALAD</t>
  </si>
  <si>
    <t>ANAND G CHATTI</t>
  </si>
  <si>
    <t>CHANNABASAPPA N NEELAPPANAVAR</t>
  </si>
  <si>
    <t>AMARESH M KOUDI</t>
  </si>
  <si>
    <t>ABHISHEK S GADAD</t>
  </si>
  <si>
    <t>BASAVARAJ Y BHAJANTRI</t>
  </si>
  <si>
    <t>SANGAMESH D CHABBI</t>
  </si>
  <si>
    <t>SIDDAPPA N ROLLI</t>
  </si>
  <si>
    <t>SANTOSH G CHATTI</t>
  </si>
  <si>
    <t>RAJU A NARAGUND</t>
  </si>
  <si>
    <t>BEERESH Y WALIKAR</t>
  </si>
  <si>
    <t>PRAVEEN P AMBIGER</t>
  </si>
  <si>
    <t>KRISHNA B SIMIKERI</t>
  </si>
  <si>
    <t>NAGARAJ M TEGGI</t>
  </si>
  <si>
    <t>VINOD V HIREGOUDAR</t>
  </si>
  <si>
    <t>IRABASAYYA P SANGAMAD</t>
  </si>
  <si>
    <t>PRAVEEN S MUTTANNAVAR</t>
  </si>
  <si>
    <t>PARASHURAM S AMARAGOL</t>
  </si>
  <si>
    <t>REVANASIDDAPPA JUMANAL</t>
  </si>
  <si>
    <t>Work Order</t>
  </si>
  <si>
    <t>Shift</t>
  </si>
  <si>
    <t>Started on:</t>
  </si>
  <si>
    <t xml:space="preserve">  Completed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</si>
</sst>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7.7"/>
      <color theme="1"/>
      <name val="Calibri"/>
      <family val="2"/>
    </font>
    <font>
      <b/>
      <sz val="10"/>
      <name val="Calibri"/>
      <family val="2"/>
      <scheme val="minor"/>
    </font>
    <font>
      <sz val="12"/>
      <name val="Aptos Narrow"/>
      <family val="2"/>
    </font>
    <font>
      <b/>
      <sz val="10"/>
      <color theme="0" tint="-0.34998626667073579"/>
      <name val="Ink Free"/>
      <family val="4"/>
    </font>
    <font>
      <b/>
      <sz val="12"/>
      <name val="Bradley Hand ITC"/>
      <family val="4"/>
    </font>
    <font>
      <sz val="12"/>
      <color theme="1"/>
      <name val="Aptos Narrow"/>
      <family val="2"/>
    </font>
    <font>
      <sz val="10"/>
      <name val="Arial Unicode MS"/>
    </font>
    <font>
      <sz val="10"/>
      <color theme="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/>
      <right style="double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5" fillId="0" borderId="3" xfId="0" applyFont="1" applyBorder="1"/>
    <xf numFmtId="0" fontId="5" fillId="0" borderId="3" xfId="0" quotePrefix="1" applyFont="1" applyBorder="1"/>
    <xf numFmtId="0" fontId="9" fillId="2" borderId="3" xfId="0" applyFont="1" applyFill="1" applyBorder="1"/>
    <xf numFmtId="0" fontId="5" fillId="2" borderId="3" xfId="0" applyFont="1" applyFill="1" applyBorder="1"/>
    <xf numFmtId="0" fontId="5" fillId="0" borderId="1" xfId="0" applyFont="1" applyBorder="1"/>
    <xf numFmtId="0" fontId="6" fillId="0" borderId="4" xfId="0" applyFont="1" applyBorder="1"/>
    <xf numFmtId="0" fontId="6" fillId="0" borderId="5" xfId="0" applyFont="1" applyBorder="1"/>
    <xf numFmtId="0" fontId="10" fillId="2" borderId="5" xfId="0" applyFont="1" applyFill="1" applyBorder="1"/>
    <xf numFmtId="0" fontId="6" fillId="2" borderId="5" xfId="0" applyFont="1" applyFill="1" applyBorder="1"/>
    <xf numFmtId="0" fontId="6" fillId="0" borderId="6" xfId="0" applyFont="1" applyBorder="1"/>
    <xf numFmtId="0" fontId="6" fillId="0" borderId="0" xfId="0" applyFont="1"/>
    <xf numFmtId="0" fontId="5" fillId="0" borderId="7" xfId="0" applyFont="1" applyBorder="1"/>
    <xf numFmtId="0" fontId="5" fillId="0" borderId="5" xfId="0" applyFont="1" applyBorder="1"/>
    <xf numFmtId="0" fontId="5" fillId="0" borderId="0" xfId="0" applyFont="1"/>
    <xf numFmtId="0" fontId="5" fillId="0" borderId="8" xfId="0" applyFont="1" applyBorder="1"/>
    <xf numFmtId="0" fontId="9" fillId="2" borderId="0" xfId="0" applyFont="1" applyFill="1"/>
    <xf numFmtId="0" fontId="5" fillId="2" borderId="0" xfId="0" applyFont="1" applyFill="1"/>
    <xf numFmtId="0" fontId="11" fillId="2" borderId="0" xfId="0" applyFont="1" applyFill="1"/>
    <xf numFmtId="0" fontId="0" fillId="0" borderId="10" xfId="0" applyBorder="1"/>
    <xf numFmtId="0" fontId="12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13" fillId="0" borderId="0" xfId="0" applyFont="1" applyAlignment="1">
      <alignment vertical="center"/>
    </xf>
    <xf numFmtId="0" fontId="2" fillId="0" borderId="0" xfId="0" applyFont="1"/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1" xfId="0" applyFill="1" applyBorder="1"/>
    <xf numFmtId="0" fontId="0" fillId="3" borderId="10" xfId="0" applyFill="1" applyBorder="1"/>
    <xf numFmtId="0" fontId="7" fillId="3" borderId="10" xfId="0" applyFont="1" applyFill="1" applyBorder="1" applyAlignment="1">
      <alignment horizontal="center"/>
    </xf>
    <xf numFmtId="0" fontId="0" fillId="3" borderId="11" xfId="0" applyFill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/>
    <xf numFmtId="0" fontId="2" fillId="0" borderId="1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0" fillId="0" borderId="7" xfId="0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7" xfId="0" applyFont="1" applyBorder="1"/>
    <xf numFmtId="0" fontId="0" fillId="0" borderId="2" xfId="0" applyBorder="1" applyAlignment="1" applyProtection="1">
      <alignment horizontal="center"/>
      <protection locked="0"/>
    </xf>
    <xf numFmtId="0" fontId="2" fillId="0" borderId="3" xfId="0" applyFont="1" applyBorder="1"/>
    <xf numFmtId="0" fontId="3" fillId="0" borderId="13" xfId="0" applyFont="1" applyBorder="1"/>
    <xf numFmtId="0" fontId="0" fillId="0" borderId="13" xfId="0" applyBorder="1"/>
    <xf numFmtId="0" fontId="2" fillId="0" borderId="8" xfId="0" applyFont="1" applyBorder="1"/>
    <xf numFmtId="0" fontId="14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0" fontId="14" fillId="0" borderId="5" xfId="0" applyFont="1" applyBorder="1"/>
    <xf numFmtId="0" fontId="15" fillId="0" borderId="3" xfId="0" applyFont="1" applyBorder="1" applyAlignment="1">
      <alignment horizontal="center"/>
    </xf>
    <xf numFmtId="0" fontId="0" fillId="4" borderId="1" xfId="0" applyFill="1" applyBorder="1"/>
    <xf numFmtId="0" fontId="0" fillId="4" borderId="13" xfId="0" applyFill="1" applyBorder="1"/>
    <xf numFmtId="0" fontId="7" fillId="4" borderId="13" xfId="0" applyFont="1" applyFill="1" applyBorder="1" applyAlignment="1">
      <alignment horizontal="center"/>
    </xf>
    <xf numFmtId="0" fontId="0" fillId="4" borderId="7" xfId="0" applyFill="1" applyBorder="1"/>
    <xf numFmtId="0" fontId="0" fillId="0" borderId="8" xfId="0" applyBorder="1"/>
    <xf numFmtId="0" fontId="4" fillId="0" borderId="1" xfId="0" applyFont="1" applyBorder="1"/>
    <xf numFmtId="0" fontId="4" fillId="0" borderId="6" xfId="0" applyFont="1" applyBorder="1"/>
    <xf numFmtId="0" fontId="0" fillId="5" borderId="1" xfId="0" applyFill="1" applyBorder="1"/>
    <xf numFmtId="0" fontId="0" fillId="5" borderId="13" xfId="0" applyFill="1" applyBorder="1"/>
    <xf numFmtId="0" fontId="7" fillId="5" borderId="13" xfId="0" applyFont="1" applyFill="1" applyBorder="1" applyAlignment="1">
      <alignment horizontal="center"/>
    </xf>
    <xf numFmtId="0" fontId="0" fillId="5" borderId="7" xfId="0" applyFill="1" applyBorder="1"/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14" xfId="0" applyBorder="1"/>
    <xf numFmtId="0" fontId="16" fillId="0" borderId="14" xfId="0" applyFont="1" applyBorder="1" applyAlignment="1">
      <alignment horizontal="right"/>
    </xf>
    <xf numFmtId="2" fontId="6" fillId="0" borderId="14" xfId="0" applyNumberFormat="1" applyFont="1" applyBorder="1" applyAlignment="1">
      <alignment horizontal="left"/>
    </xf>
    <xf numFmtId="0" fontId="0" fillId="0" borderId="4" xfId="0" applyBorder="1"/>
    <xf numFmtId="0" fontId="7" fillId="0" borderId="0" xfId="0" applyFont="1" applyProtection="1">
      <protection locked="0"/>
    </xf>
    <xf numFmtId="0" fontId="7" fillId="6" borderId="1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0" fillId="6" borderId="13" xfId="0" applyFill="1" applyBorder="1" applyAlignment="1">
      <alignment vertical="center"/>
    </xf>
    <xf numFmtId="0" fontId="0" fillId="6" borderId="13" xfId="0" applyFill="1" applyBorder="1"/>
    <xf numFmtId="0" fontId="7" fillId="6" borderId="13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7" fillId="6" borderId="13" xfId="0" applyFont="1" applyFill="1" applyBorder="1" applyAlignment="1">
      <alignment horizontal="right" vertical="center"/>
    </xf>
    <xf numFmtId="0" fontId="0" fillId="6" borderId="7" xfId="0" applyFill="1" applyBorder="1"/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3" xfId="0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0" fillId="0" borderId="13" xfId="0" applyBorder="1" applyAlignment="1">
      <alignment horizontal="left"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8" fillId="0" borderId="1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6" borderId="1" xfId="0" applyFill="1" applyBorder="1" applyAlignment="1">
      <alignment vertical="center"/>
    </xf>
    <xf numFmtId="0" fontId="7" fillId="6" borderId="13" xfId="0" applyFont="1" applyFill="1" applyBorder="1" applyAlignment="1">
      <alignment horizontal="center"/>
    </xf>
    <xf numFmtId="0" fontId="8" fillId="6" borderId="13" xfId="0" applyFont="1" applyFill="1" applyBorder="1" applyAlignment="1">
      <alignment vertical="center"/>
    </xf>
    <xf numFmtId="0" fontId="8" fillId="6" borderId="7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2" fillId="6" borderId="13" xfId="0" applyFont="1" applyFill="1" applyBorder="1" applyAlignment="1">
      <alignment horizontal="center" vertical="center"/>
    </xf>
    <xf numFmtId="0" fontId="0" fillId="6" borderId="1" xfId="0" applyFill="1" applyBorder="1"/>
    <xf numFmtId="0" fontId="0" fillId="0" borderId="3" xfId="0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15" fillId="7" borderId="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 applyProtection="1">
      <alignment horizontal="center" vertical="center"/>
      <protection locked="0"/>
    </xf>
    <xf numFmtId="0" fontId="20" fillId="0" borderId="3" xfId="0" applyFont="1" applyBorder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21" fillId="0" borderId="5" xfId="0" applyFont="1" applyBorder="1" applyAlignment="1" applyProtection="1">
      <alignment horizontal="center"/>
      <protection locked="0"/>
    </xf>
    <xf numFmtId="0" fontId="5" fillId="0" borderId="13" xfId="0" applyFont="1" applyBorder="1" applyAlignment="1">
      <alignment vertical="center"/>
    </xf>
    <xf numFmtId="0" fontId="23" fillId="0" borderId="0" xfId="0" applyFont="1" applyAlignment="1" applyProtection="1">
      <alignment horizontal="left" vertical="center" indent="1"/>
      <protection locked="0"/>
    </xf>
    <xf numFmtId="0" fontId="24" fillId="0" borderId="0" xfId="0" applyFont="1"/>
    <xf numFmtId="0" fontId="11" fillId="0" borderId="0" xfId="0" applyFont="1" applyAlignment="1">
      <alignment horizontal="center"/>
    </xf>
    <xf numFmtId="0" fontId="0" fillId="0" borderId="9" xfId="0" applyBorder="1"/>
    <xf numFmtId="0" fontId="2" fillId="0" borderId="17" xfId="0" applyFont="1" applyBorder="1" applyAlignment="1">
      <alignment horizontal="center" vertical="center"/>
    </xf>
    <xf numFmtId="0" fontId="15" fillId="7" borderId="18" xfId="0" applyFont="1" applyFill="1" applyBorder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0" fillId="7" borderId="6" xfId="0" applyFill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0" fillId="0" borderId="11" xfId="0" applyBorder="1"/>
    <xf numFmtId="0" fontId="0" fillId="7" borderId="13" xfId="0" applyFill="1" applyBorder="1"/>
    <xf numFmtId="0" fontId="8" fillId="7" borderId="13" xfId="0" applyFont="1" applyFill="1" applyBorder="1" applyAlignment="1">
      <alignment vertical="center"/>
    </xf>
    <xf numFmtId="0" fontId="2" fillId="7" borderId="13" xfId="0" applyFont="1" applyFill="1" applyBorder="1" applyAlignment="1">
      <alignment horizontal="center" vertical="center"/>
    </xf>
    <xf numFmtId="0" fontId="0" fillId="7" borderId="7" xfId="0" applyFill="1" applyBorder="1"/>
    <xf numFmtId="0" fontId="26" fillId="8" borderId="0" xfId="0" applyFont="1" applyFill="1" applyAlignment="1">
      <alignment horizontal="center"/>
    </xf>
    <xf numFmtId="0" fontId="22" fillId="0" borderId="3" xfId="0" applyFont="1" applyBorder="1" applyAlignment="1">
      <alignment horizontal="left" vertical="center"/>
    </xf>
    <xf numFmtId="0" fontId="25" fillId="7" borderId="19" xfId="0" applyFont="1" applyFill="1" applyBorder="1" applyAlignment="1">
      <alignment vertical="center"/>
    </xf>
    <xf numFmtId="0" fontId="19" fillId="0" borderId="1" xfId="0" applyFont="1" applyBorder="1" applyAlignment="1">
      <alignment horizontal="left" vertical="top"/>
    </xf>
    <xf numFmtId="0" fontId="19" fillId="0" borderId="7" xfId="0" applyFont="1" applyBorder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1" fillId="0" borderId="0" xfId="0" applyFont="1" applyProtection="1">
      <protection locked="0"/>
    </xf>
    <xf numFmtId="0" fontId="27" fillId="0" borderId="0" xfId="0" applyFont="1" applyAlignment="1">
      <alignment horizontal="center"/>
    </xf>
    <xf numFmtId="0" fontId="20" fillId="7" borderId="20" xfId="0" applyFont="1" applyFill="1" applyBorder="1" applyAlignment="1">
      <alignment horizontal="center" vertical="center"/>
    </xf>
    <xf numFmtId="0" fontId="28" fillId="0" borderId="3" xfId="0" applyFont="1" applyBorder="1"/>
    <xf numFmtId="0" fontId="28" fillId="0" borderId="3" xfId="0" applyFont="1" applyBorder="1" applyAlignment="1">
      <alignment vertical="center"/>
    </xf>
    <xf numFmtId="0" fontId="2" fillId="0" borderId="0" xfId="0" applyFont="1" applyAlignment="1" applyProtection="1">
      <alignment horizontal="center"/>
      <protection locked="0"/>
    </xf>
    <xf numFmtId="14" fontId="0" fillId="0" borderId="10" xfId="0" applyNumberFormat="1" applyBorder="1" applyAlignment="1" applyProtection="1">
      <alignment horizontal="left"/>
      <protection locked="0"/>
    </xf>
    <xf numFmtId="0" fontId="0" fillId="0" borderId="14" xfId="0" applyBorder="1" applyAlignment="1">
      <alignment horizontal="left"/>
    </xf>
  </cellXfs>
  <cellStyles count="1">
    <cellStyle name="Normal" xfId="0" builtinId="0"/>
  </cellStyles>
  <dxfs count="57"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F8B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0</xdr:row>
          <xdr:rowOff>0</xdr:rowOff>
        </xdr:from>
        <xdr:to>
          <xdr:col>3</xdr:col>
          <xdr:colOff>2905001</xdr:colOff>
          <xdr:row>1</xdr:row>
          <xdr:rowOff>0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GrpSpPr/>
          </xdr:nvGrpSpPr>
          <xdr:grpSpPr>
            <a:xfrm>
              <a:off x="4792717" y="0"/>
              <a:ext cx="2905001" cy="152400"/>
              <a:chOff x="1045029" y="4"/>
              <a:chExt cx="2905001" cy="190500"/>
            </a:xfrm>
          </xdr:grpSpPr>
          <xdr:sp macro="" textlink="">
            <xdr:nvSpPr>
              <xdr:cNvPr id="9217" name="ComboBox1" hidden="1">
                <a:extLst>
                  <a:ext uri="{63B3BB69-23CF-44E3-9099-C40C66FF867C}">
                    <a14:compatExt spid="_x0000_s9217"/>
                  </a:ext>
                  <a:ext uri="{FF2B5EF4-FFF2-40B4-BE49-F238E27FC236}">
                    <a16:creationId xmlns:a16="http://schemas.microsoft.com/office/drawing/2014/main" id="{00000000-0008-0000-0200-000001240000}"/>
                  </a:ext>
                </a:extLst>
              </xdr:cNvPr>
              <xdr:cNvSpPr/>
            </xdr:nvSpPr>
            <xdr:spPr bwMode="auto">
              <a:xfrm>
                <a:off x="1045029" y="9532"/>
                <a:ext cx="2498271" cy="159326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9218" name="btnInsertJob" hidden="1">
                <a:extLst>
                  <a:ext uri="{63B3BB69-23CF-44E3-9099-C40C66FF867C}">
                    <a14:compatExt spid="_x0000_s9218"/>
                  </a:ext>
                  <a:ext uri="{FF2B5EF4-FFF2-40B4-BE49-F238E27FC236}">
                    <a16:creationId xmlns:a16="http://schemas.microsoft.com/office/drawing/2014/main" id="{00000000-0008-0000-0200-000002240000}"/>
                  </a:ext>
                </a:extLst>
              </xdr:cNvPr>
              <xdr:cNvSpPr/>
            </xdr:nvSpPr>
            <xdr:spPr bwMode="auto">
              <a:xfrm>
                <a:off x="3560371" y="4"/>
                <a:ext cx="389659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4B7A05-2F64-47E2-AD1D-0D545745BC97}" name="Table13" displayName="Table13" ref="A1:AV106" totalsRowShown="0" headerRowDxfId="56" dataDxfId="54" headerRowBorderDxfId="55" tableBorderDxfId="53" totalsRowBorderDxfId="52">
  <autoFilter ref="A1:AV106" xr:uid="{0543D08F-7F6C-405A-9DAC-5D8282A73524}"/>
  <tableColumns count="48">
    <tableColumn id="1" xr3:uid="{5C15CAAD-5F41-4CEC-9182-F2BE261039AC}" name="Year" dataDxfId="51"/>
    <tableColumn id="2" xr3:uid="{6429A5DA-930F-4A5F-A76D-A45DDEFD2E34}" name="ExNo." dataDxfId="50"/>
    <tableColumn id="3" xr3:uid="{6771EAE3-570A-49B9-89D4-9461B8E43E56}" name="Aim" dataDxfId="49"/>
    <tableColumn id="4" xr3:uid="{C037F6CA-BAFA-4BAC-A399-227B4D8C512B}" name="Job" dataDxfId="48"/>
    <tableColumn id="5" xr3:uid="{FA24BE6F-FE43-4ED2-BF1F-FEFAA6B84691}" name="Tol" dataDxfId="47"/>
    <tableColumn id="6" xr3:uid="{5D84C2CB-E9C9-4FA6-91C7-A740D35A6BEC}" name="A" dataDxfId="46"/>
    <tableColumn id="7" xr3:uid="{FED4A41F-11A3-48F1-87A8-07FE11E7E1B3}" name="AM" dataDxfId="45"/>
    <tableColumn id="8" xr3:uid="{C2BFA7E8-70FF-42A2-85A8-7B6FD30A8D4E}" name="B" dataDxfId="44"/>
    <tableColumn id="9" xr3:uid="{8068BEFF-0300-40B6-937F-6B8F772C33C5}" name="BM" dataDxfId="43"/>
    <tableColumn id="10" xr3:uid="{5835DE1A-59AA-4D88-9574-015F3F37C8B6}" name="C" dataDxfId="42"/>
    <tableColumn id="11" xr3:uid="{978D7FBC-23A9-4265-A58B-56ACE2588B59}" name="CM" dataDxfId="41"/>
    <tableColumn id="12" xr3:uid="{F9ED03FF-E7A0-45C4-8436-F392D8C9AF55}" name="D" dataDxfId="40"/>
    <tableColumn id="13" xr3:uid="{25499723-0BF5-4A57-834A-4091D6DC7AE6}" name="DM" dataDxfId="39"/>
    <tableColumn id="14" xr3:uid="{3BE737A8-68EF-4654-9A31-ADB9EF0F5794}" name="E" dataDxfId="38"/>
    <tableColumn id="15" xr3:uid="{666C2626-BC00-497E-93BC-2CEECD38C8A5}" name="EM" dataDxfId="37"/>
    <tableColumn id="16" xr3:uid="{6371CA6F-E75F-47C6-93F4-DB3E829C9C96}" name="F" dataDxfId="36"/>
    <tableColumn id="17" xr3:uid="{2681EBDE-06C1-4A64-8F89-C7ADFB8A19F2}" name="FM" dataDxfId="35"/>
    <tableColumn id="18" xr3:uid="{3E3E0A48-A2E4-401B-AF3E-53D4A5B85F03}" name="G" dataDxfId="34"/>
    <tableColumn id="19" xr3:uid="{F7DD603E-6F54-4865-BC99-7FF451205E7C}" name="GM" dataDxfId="33"/>
    <tableColumn id="20" xr3:uid="{1F458B3A-716A-4E3C-96CB-944C302B57D0}" name="H" dataDxfId="32"/>
    <tableColumn id="21" xr3:uid="{BD98D3A9-7239-4D07-BD8A-7C3B27D3AE1D}" name="HM" dataDxfId="31"/>
    <tableColumn id="22" xr3:uid="{C2E1684E-84CD-454A-88C8-F767547B9EC2}" name="I" dataDxfId="30"/>
    <tableColumn id="23" xr3:uid="{22714708-8C09-47D2-A39C-95A9F29BE957}" name="IM" dataDxfId="29"/>
    <tableColumn id="24" xr3:uid="{85C009FF-7E93-4CB5-B4A9-DA55ACE7C324}" name="J" dataDxfId="28"/>
    <tableColumn id="25" xr3:uid="{004125FA-9D3D-4A3E-BDD7-D658B35AF308}" name="JM" dataDxfId="27"/>
    <tableColumn id="26" xr3:uid="{519FC405-7860-4B46-86B7-8BC70BF17B60}" name="TOT1" dataDxfId="26">
      <calculatedColumnFormula>Table13[[#This Row],[AM]]+Table13[[#This Row],[BM]]+Table13[[#This Row],[CM]]+Table13[[#This Row],[DM]]+Table13[[#This Row],[EM]]+Table13[[#This Row],[FM]]+Table13[[#This Row],[GM]]+Table13[[#This Row],[HM]]+Table13[[#This Row],[IM]]+Table13[[#This Row],[JM]]</calculatedColumnFormula>
    </tableColumn>
    <tableColumn id="27" xr3:uid="{FACEAE86-9A72-46B8-B33D-38065A633795}" name="K" dataDxfId="25"/>
    <tableColumn id="28" xr3:uid="{EE100346-05E3-4B7A-9F46-3D3C247D9B3F}" name="KM" dataDxfId="24"/>
    <tableColumn id="29" xr3:uid="{A34D971A-A7CA-4513-9730-A32E6C07D92B}" name="L" dataDxfId="23"/>
    <tableColumn id="30" xr3:uid="{834A2FAE-4688-4BCC-ADBB-6051EB8395E6}" name="LM" dataDxfId="22"/>
    <tableColumn id="31" xr3:uid="{49025FDA-CA08-41A0-9762-9229CFADAC86}" name="M" dataDxfId="21"/>
    <tableColumn id="32" xr3:uid="{D1AB8F8E-907C-4D2E-935D-49A2D10EA0AA}" name="MM" dataDxfId="20"/>
    <tableColumn id="33" xr3:uid="{DB4AC692-36BA-42F0-B6E2-152B78499A70}" name="N" dataDxfId="19"/>
    <tableColumn id="34" xr3:uid="{01CEB611-DD01-40F5-BFDE-8CBB2B29768D}" name="NM" dataDxfId="18"/>
    <tableColumn id="35" xr3:uid="{1880845A-B5A7-4994-B526-7C8F7A58AF44}" name="O" dataDxfId="17"/>
    <tableColumn id="36" xr3:uid="{605CC954-B921-46BE-9E04-D5DA79BB11A6}" name="OM" dataDxfId="16"/>
    <tableColumn id="37" xr3:uid="{9DDF1A56-2693-4041-8161-370F66EB3B2D}" name="TOT2" dataDxfId="15">
      <calculatedColumnFormula>Table13[[#This Row],[KM]]+Table13[[#This Row],[LM]]+Table13[[#This Row],[MM]]+Table13[[#This Row],[NM]]+Table13[[#This Row],[OM]]</calculatedColumnFormula>
    </tableColumn>
    <tableColumn id="38" xr3:uid="{A63F4AC2-C5EF-41F3-8C7C-66408E797DEE}" name="P" dataDxfId="14"/>
    <tableColumn id="39" xr3:uid="{FC5B00D9-56C7-4E11-AD44-A46941EB7589}" name="PM" dataDxfId="13"/>
    <tableColumn id="40" xr3:uid="{6ED1375D-6407-4F92-BE99-334924AC6EB2}" name="Q" dataDxfId="12"/>
    <tableColumn id="41" xr3:uid="{0CAF2124-362B-45FE-A46D-0D3A91E9EC56}" name="QM" dataDxfId="11"/>
    <tableColumn id="42" xr3:uid="{8A400CE2-5528-4BCD-B79B-52AC22FD5C74}" name="R" dataDxfId="10"/>
    <tableColumn id="43" xr3:uid="{9C48F550-87E1-478A-B10C-B133E1B4BDF7}" name="RM" dataDxfId="9"/>
    <tableColumn id="44" xr3:uid="{0A4DA67F-1276-4C3E-8E5B-0469104BA8C6}" name="S" dataDxfId="8"/>
    <tableColumn id="45" xr3:uid="{51DCF8B6-C55D-4F22-862B-681BBC7529ED}" name="SM" dataDxfId="7"/>
    <tableColumn id="46" xr3:uid="{255ADB90-FAD8-435D-BD90-9264502B79D8}" name="TOT3" dataDxfId="6">
      <calculatedColumnFormula>Table13[[#This Row],[PM]]+Table13[[#This Row],[QM]]+Table13[[#This Row],[RM]]+Table13[[#This Row],[SM]]</calculatedColumnFormula>
    </tableColumn>
    <tableColumn id="47" xr3:uid="{E99A1E67-15E1-417C-8888-98E6F55D6125}" name="TOT" dataDxfId="5">
      <calculatedColumnFormula>Table13[[#This Row],[TOT1]]+Table13[[#This Row],[TOT2]]+Table13[[#This Row],[TOT3]]</calculatedColumnFormula>
    </tableColumn>
    <tableColumn id="48" xr3:uid="{64AD3837-2737-4DEE-88BD-2F4E2EFAC459}" name="Column1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7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200F-952B-483B-85A4-0E6B9C5C826A}">
  <sheetPr codeName="Sheet8">
    <pageSetUpPr fitToPage="1"/>
  </sheetPr>
  <dimension ref="A1:AO64"/>
  <sheetViews>
    <sheetView tabSelected="1" topLeftCell="A25" zoomScale="85" zoomScaleNormal="85" zoomScalePageLayoutView="145" workbookViewId="0">
      <selection activeCell="AE38" sqref="AE38:AG38"/>
    </sheetView>
  </sheetViews>
  <sheetFormatPr defaultColWidth="10.6640625" defaultRowHeight="15" customHeight="1" zeroHeight="1"/>
  <cols>
    <col min="1" max="10" width="4.109375" customWidth="1"/>
    <col min="11" max="13" width="4.33203125" customWidth="1"/>
    <col min="14" max="14" width="4.5546875" customWidth="1"/>
    <col min="15" max="17" width="4.33203125" customWidth="1"/>
    <col min="18" max="19" width="4.44140625" customWidth="1"/>
    <col min="20" max="20" width="4.33203125" customWidth="1"/>
    <col min="21" max="32" width="4.44140625" customWidth="1"/>
    <col min="33" max="33" width="4.88671875" customWidth="1"/>
    <col min="34" max="34" width="7.33203125" style="21" customWidth="1"/>
    <col min="35" max="41" width="10.6640625" style="21" customWidth="1"/>
    <col min="42" max="16381" width="10.6640625" customWidth="1"/>
    <col min="16382" max="16382" width="3.5546875" customWidth="1"/>
    <col min="16383" max="16383" width="2.44140625" customWidth="1"/>
    <col min="16384" max="16384" width="5.77734375" customWidth="1"/>
  </cols>
  <sheetData>
    <row r="1" spans="1:40" s="21" customFormat="1" ht="22.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 s="20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1:40" s="21" customFormat="1" ht="22.5" customHeigh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Q2" s="151" t="s">
        <v>322</v>
      </c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pans="1:40" s="21" customFormat="1" ht="18.75" customHeight="1">
      <c r="A3" s="22" t="s">
        <v>245</v>
      </c>
      <c r="B3"/>
      <c r="C3" s="23"/>
      <c r="D3"/>
      <c r="E3" s="23"/>
      <c r="F3" s="23" t="s">
        <v>323</v>
      </c>
      <c r="G3" s="22"/>
      <c r="H3" s="23" t="s">
        <v>246</v>
      </c>
      <c r="I3" s="23"/>
      <c r="J3"/>
      <c r="K3"/>
      <c r="L3"/>
      <c r="M3" s="24" t="s">
        <v>274</v>
      </c>
      <c r="O3"/>
      <c r="P3"/>
      <c r="Q3" s="155"/>
      <c r="R3"/>
      <c r="S3"/>
      <c r="T3" s="25" t="s">
        <v>247</v>
      </c>
      <c r="U3" s="26"/>
      <c r="V3"/>
      <c r="W3"/>
      <c r="X3"/>
      <c r="Y3"/>
      <c r="Z3"/>
      <c r="AA3"/>
      <c r="AB3"/>
      <c r="AC3"/>
      <c r="AD3"/>
      <c r="AE3"/>
      <c r="AF3"/>
      <c r="AG3"/>
    </row>
    <row r="4" spans="1:40" s="21" customFormat="1" ht="15.6">
      <c r="A4" s="128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8"/>
      <c r="R4" s="29"/>
      <c r="S4" s="30"/>
      <c r="T4" s="30"/>
      <c r="U4" s="30"/>
      <c r="V4" s="30"/>
      <c r="W4" s="30"/>
      <c r="X4" s="30"/>
      <c r="Y4" s="31" t="s">
        <v>248</v>
      </c>
      <c r="Z4" s="30"/>
      <c r="AA4" s="30"/>
      <c r="AB4" s="30"/>
      <c r="AC4" s="30"/>
      <c r="AD4" s="30"/>
      <c r="AE4" s="30"/>
      <c r="AF4" s="30"/>
      <c r="AG4" s="32"/>
    </row>
    <row r="5" spans="1:40" s="21" customFormat="1" ht="14.4">
      <c r="A5" s="33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  <c r="R5" s="36"/>
      <c r="S5" s="37"/>
      <c r="T5" s="38"/>
      <c r="U5" s="39" t="s">
        <v>249</v>
      </c>
      <c r="V5" s="38"/>
      <c r="W5" s="38"/>
      <c r="X5" s="38"/>
      <c r="Y5" s="40"/>
      <c r="Z5" s="37"/>
      <c r="AA5" s="39" t="s">
        <v>250</v>
      </c>
      <c r="AB5" s="40"/>
      <c r="AC5" s="41"/>
      <c r="AD5" s="39" t="s">
        <v>251</v>
      </c>
      <c r="AE5" s="40"/>
      <c r="AF5" s="42" t="s">
        <v>252</v>
      </c>
      <c r="AG5" s="43"/>
    </row>
    <row r="6" spans="1:40" s="21" customFormat="1" ht="14.4">
      <c r="A6" s="4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5"/>
      <c r="R6" s="45" t="s">
        <v>120</v>
      </c>
      <c r="S6" s="37"/>
      <c r="T6" s="46"/>
      <c r="U6" s="47"/>
      <c r="V6" s="47"/>
      <c r="W6" s="47"/>
      <c r="X6" s="47"/>
      <c r="Y6" s="40"/>
      <c r="Z6" s="41"/>
      <c r="AA6" s="47"/>
      <c r="AB6" s="40"/>
      <c r="AC6" s="41"/>
      <c r="AD6" s="39"/>
      <c r="AE6" s="40"/>
      <c r="AF6" s="41"/>
      <c r="AG6" s="40"/>
    </row>
    <row r="7" spans="1:40" s="21" customFormat="1" ht="14.4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5"/>
      <c r="R7" s="45" t="s">
        <v>122</v>
      </c>
      <c r="S7" s="37"/>
      <c r="T7" s="46"/>
      <c r="U7" s="47"/>
      <c r="V7" s="47"/>
      <c r="W7" s="47"/>
      <c r="X7" s="47"/>
      <c r="Y7" s="40"/>
      <c r="Z7" s="41"/>
      <c r="AA7" s="47"/>
      <c r="AB7" s="40"/>
      <c r="AC7" s="41"/>
      <c r="AD7" s="39"/>
      <c r="AE7" s="40"/>
      <c r="AF7" s="41"/>
      <c r="AG7" s="40"/>
    </row>
    <row r="8" spans="1:40" s="21" customFormat="1" ht="14.4">
      <c r="A8" s="33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5"/>
      <c r="R8" s="45" t="s">
        <v>124</v>
      </c>
      <c r="S8" s="37"/>
      <c r="T8" s="46"/>
      <c r="U8" s="47"/>
      <c r="V8" s="47"/>
      <c r="W8" s="47"/>
      <c r="X8" s="47"/>
      <c r="Y8" s="40"/>
      <c r="Z8" s="41"/>
      <c r="AA8" s="47"/>
      <c r="AB8" s="40"/>
      <c r="AC8" s="41"/>
      <c r="AD8" s="39"/>
      <c r="AE8" s="40"/>
      <c r="AF8" s="41"/>
      <c r="AG8" s="40"/>
    </row>
    <row r="9" spans="1:40" s="21" customFormat="1" ht="14.4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  <c r="R9" s="45" t="s">
        <v>126</v>
      </c>
      <c r="S9" s="37"/>
      <c r="T9" s="46"/>
      <c r="U9" s="47"/>
      <c r="V9" s="47"/>
      <c r="W9" s="47"/>
      <c r="X9" s="47"/>
      <c r="Y9" s="40"/>
      <c r="Z9" s="41"/>
      <c r="AA9" s="47"/>
      <c r="AB9" s="40"/>
      <c r="AC9" s="41"/>
      <c r="AD9" s="39"/>
      <c r="AE9" s="40"/>
      <c r="AF9" s="41"/>
      <c r="AG9" s="40"/>
    </row>
    <row r="10" spans="1:40" s="21" customFormat="1" ht="14.4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  <c r="R10" s="45" t="s">
        <v>128</v>
      </c>
      <c r="S10" s="37"/>
      <c r="T10" s="46"/>
      <c r="U10" s="47"/>
      <c r="V10" s="47"/>
      <c r="W10" s="47"/>
      <c r="X10" s="47"/>
      <c r="Y10" s="40"/>
      <c r="Z10" s="41"/>
      <c r="AA10" s="47"/>
      <c r="AB10" s="40"/>
      <c r="AC10" s="41"/>
      <c r="AD10" s="39"/>
      <c r="AE10" s="40"/>
      <c r="AF10" s="41"/>
      <c r="AG10" s="40"/>
      <c r="AN10" s="150"/>
    </row>
    <row r="11" spans="1:40" s="21" customFormat="1" ht="14.4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  <c r="R11" s="45" t="s">
        <v>130</v>
      </c>
      <c r="S11" s="37"/>
      <c r="T11" s="47"/>
      <c r="U11" s="47"/>
      <c r="V11" s="47"/>
      <c r="W11" s="47"/>
      <c r="X11" s="47"/>
      <c r="Y11" s="40"/>
      <c r="Z11" s="41"/>
      <c r="AA11" s="47"/>
      <c r="AB11" s="40"/>
      <c r="AC11" s="41"/>
      <c r="AD11" s="38"/>
      <c r="AE11" s="40"/>
      <c r="AF11" s="41"/>
      <c r="AG11" s="40"/>
    </row>
    <row r="12" spans="1:40" s="21" customFormat="1" ht="14.4">
      <c r="A12" s="3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5"/>
      <c r="R12" s="45" t="s">
        <v>132</v>
      </c>
      <c r="S12" s="37"/>
      <c r="T12" s="47"/>
      <c r="U12" s="47"/>
      <c r="V12" s="47"/>
      <c r="W12" s="47"/>
      <c r="X12" s="47"/>
      <c r="Y12" s="40"/>
      <c r="Z12" s="41"/>
      <c r="AA12" s="47"/>
      <c r="AB12" s="40"/>
      <c r="AC12" s="41"/>
      <c r="AD12" s="38"/>
      <c r="AE12" s="40"/>
      <c r="AF12" s="41"/>
      <c r="AG12" s="40"/>
    </row>
    <row r="13" spans="1:40" s="21" customFormat="1" ht="14.4">
      <c r="A13" s="3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5"/>
      <c r="R13" s="45" t="s">
        <v>134</v>
      </c>
      <c r="S13" s="37"/>
      <c r="T13" s="47"/>
      <c r="U13" s="47"/>
      <c r="V13" s="47"/>
      <c r="W13" s="47"/>
      <c r="X13" s="47"/>
      <c r="Y13" s="40"/>
      <c r="Z13" s="41"/>
      <c r="AA13" s="47"/>
      <c r="AB13" s="40"/>
      <c r="AC13" s="41"/>
      <c r="AD13" s="38"/>
      <c r="AE13" s="40"/>
      <c r="AF13" s="41"/>
      <c r="AG13" s="40"/>
    </row>
    <row r="14" spans="1:40" s="21" customFormat="1" ht="14.4">
      <c r="A14" s="3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45" t="s">
        <v>136</v>
      </c>
      <c r="S14" s="37"/>
      <c r="T14" s="47"/>
      <c r="U14" s="47"/>
      <c r="V14" s="47"/>
      <c r="W14" s="47"/>
      <c r="X14" s="47"/>
      <c r="Y14" s="40"/>
      <c r="Z14" s="41"/>
      <c r="AA14" s="47"/>
      <c r="AB14" s="40"/>
      <c r="AC14" s="41"/>
      <c r="AD14" s="38"/>
      <c r="AE14" s="40"/>
      <c r="AF14" s="41"/>
      <c r="AG14" s="40"/>
    </row>
    <row r="15" spans="1:40" s="21" customFormat="1" ht="14.4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48" t="s">
        <v>138</v>
      </c>
      <c r="S15" s="37"/>
      <c r="T15" s="47"/>
      <c r="U15" s="47"/>
      <c r="V15" s="47"/>
      <c r="W15" s="47"/>
      <c r="X15" s="47"/>
      <c r="Y15" s="40"/>
      <c r="Z15" s="41"/>
      <c r="AA15" s="47"/>
      <c r="AB15" s="40"/>
      <c r="AC15" s="41"/>
      <c r="AD15" s="38"/>
      <c r="AE15" s="40"/>
      <c r="AF15" s="41"/>
      <c r="AG15" s="40"/>
    </row>
    <row r="16" spans="1:40" s="21" customFormat="1" ht="14.4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5"/>
      <c r="R16" s="49" t="s">
        <v>253</v>
      </c>
      <c r="S16" s="50" t="str">
        <f>"-"&amp;LTol*8</f>
        <v>-0</v>
      </c>
      <c r="T16" s="50" t="str">
        <f>"-"&amp;LTol*7</f>
        <v>-0</v>
      </c>
      <c r="U16" s="50" t="str">
        <f>"-"&amp;LTol*6</f>
        <v>-0</v>
      </c>
      <c r="V16" s="50" t="str">
        <f>"-"&amp;LTol*5</f>
        <v>-0</v>
      </c>
      <c r="W16" s="50" t="str">
        <f>"-"&amp;LTol*4</f>
        <v>-0</v>
      </c>
      <c r="X16" s="50" t="str">
        <f>"-"&amp;LTol*3</f>
        <v>-0</v>
      </c>
      <c r="Y16" s="50" t="str">
        <f>"-"&amp;LTol*2</f>
        <v>-0</v>
      </c>
      <c r="Z16" s="51"/>
      <c r="AA16" s="51" t="str">
        <f>"+"&amp;LTol*2</f>
        <v>+0</v>
      </c>
      <c r="AB16" s="51" t="str">
        <f>"+"&amp;LTol*3</f>
        <v>+0</v>
      </c>
      <c r="AC16" s="51" t="str">
        <f>"+"&amp;LTol*4</f>
        <v>+0</v>
      </c>
      <c r="AD16" s="51" t="str">
        <f>"+"&amp;LTol*5</f>
        <v>+0</v>
      </c>
      <c r="AE16" s="51" t="str">
        <f>"+"&amp;LTol*6</f>
        <v>+0</v>
      </c>
      <c r="AF16" s="51" t="str">
        <f>"+"&amp;LTol*7</f>
        <v>+0</v>
      </c>
      <c r="AG16" s="51" t="str">
        <f>"+"&amp;LTol*8</f>
        <v>+0</v>
      </c>
    </row>
    <row r="17" spans="1:33" s="21" customFormat="1" ht="14.4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5"/>
      <c r="R17" s="52" t="s">
        <v>251</v>
      </c>
      <c r="S17" s="53">
        <f>ROUND(LAM*0.3,0)</f>
        <v>0</v>
      </c>
      <c r="T17" s="53">
        <f>ROUND(LAM*0.4,0)</f>
        <v>0</v>
      </c>
      <c r="U17" s="53">
        <f>ROUND(LAM*0.5,0)</f>
        <v>0</v>
      </c>
      <c r="V17" s="53">
        <f>ROUND(LAM*0.6,0)</f>
        <v>0</v>
      </c>
      <c r="W17" s="53">
        <f>ROUND(LAM*0.7,0)</f>
        <v>0</v>
      </c>
      <c r="X17" s="53">
        <f>ROUND(LAM*0.8,0)</f>
        <v>0</v>
      </c>
      <c r="Y17" s="53">
        <f>ROUND(LAM*0.9,0)</f>
        <v>0</v>
      </c>
      <c r="Z17" s="53">
        <f>LAM</f>
        <v>0</v>
      </c>
      <c r="AA17" s="53">
        <f>ROUND(LAM*0.9,0)</f>
        <v>0</v>
      </c>
      <c r="AB17" s="53">
        <f>ROUND(LAM*0.8,0)</f>
        <v>0</v>
      </c>
      <c r="AC17" s="53">
        <f>ROUND(LAM*0.7,0)</f>
        <v>0</v>
      </c>
      <c r="AD17" s="53">
        <f>ROUND(LAM*0.6,0)</f>
        <v>0</v>
      </c>
      <c r="AE17" s="53">
        <f>ROUND(LAM*0.5,0)</f>
        <v>0</v>
      </c>
      <c r="AF17" s="53">
        <f>ROUND(LAM*0.4,0)</f>
        <v>0</v>
      </c>
      <c r="AG17" s="53">
        <f>ROUND(LAM*0.3,0)</f>
        <v>0</v>
      </c>
    </row>
    <row r="18" spans="1:33" s="21" customFormat="1" ht="15.6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5"/>
      <c r="R18" s="54"/>
      <c r="S18" s="55"/>
      <c r="T18" s="55"/>
      <c r="U18" s="55"/>
      <c r="V18" s="55"/>
      <c r="W18" s="55"/>
      <c r="X18" s="55"/>
      <c r="Y18" s="56" t="s">
        <v>254</v>
      </c>
      <c r="Z18" s="55"/>
      <c r="AA18" s="55"/>
      <c r="AB18" s="55"/>
      <c r="AC18" s="55"/>
      <c r="AD18" s="55"/>
      <c r="AE18" s="55"/>
      <c r="AF18" s="55"/>
      <c r="AG18" s="57"/>
    </row>
    <row r="19" spans="1:33" s="21" customFormat="1" ht="14.4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58"/>
      <c r="S19" s="41"/>
      <c r="T19" s="47"/>
      <c r="U19"/>
      <c r="V19" s="47"/>
      <c r="W19" s="39" t="s">
        <v>255</v>
      </c>
      <c r="X19" s="47"/>
      <c r="Y19" s="47"/>
      <c r="Z19" s="47"/>
      <c r="AA19" s="41"/>
      <c r="AB19" s="39" t="s">
        <v>251</v>
      </c>
      <c r="AC19" s="40"/>
      <c r="AD19" s="41"/>
      <c r="AE19" s="47"/>
      <c r="AF19" s="47"/>
      <c r="AG19" s="40"/>
    </row>
    <row r="20" spans="1:33" s="21" customFormat="1" ht="14.4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  <c r="R20" s="45" t="s">
        <v>141</v>
      </c>
      <c r="S20" s="59"/>
      <c r="T20" s="47"/>
      <c r="U20" s="47"/>
      <c r="V20" s="47"/>
      <c r="W20" s="47"/>
      <c r="X20" s="47"/>
      <c r="Y20" s="47"/>
      <c r="Z20" s="47"/>
      <c r="AA20" s="41"/>
      <c r="AB20" s="39"/>
      <c r="AC20" s="40"/>
      <c r="AD20" s="41"/>
      <c r="AE20" s="47"/>
      <c r="AF20" s="47"/>
      <c r="AG20" s="40"/>
    </row>
    <row r="21" spans="1:33" s="21" customFormat="1" ht="14.4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5"/>
      <c r="R21" s="45" t="s">
        <v>143</v>
      </c>
      <c r="S21" s="59"/>
      <c r="T21" s="47"/>
      <c r="U21" s="47"/>
      <c r="V21" s="47"/>
      <c r="W21" s="47"/>
      <c r="X21" s="47"/>
      <c r="Y21" s="47"/>
      <c r="Z21" s="47"/>
      <c r="AA21" s="41"/>
      <c r="AB21" s="39"/>
      <c r="AC21" s="40"/>
      <c r="AD21" s="41"/>
      <c r="AE21" s="47"/>
      <c r="AF21" s="47"/>
      <c r="AG21" s="40"/>
    </row>
    <row r="22" spans="1:33" s="21" customFormat="1" ht="14.4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5"/>
      <c r="R22" s="45" t="s">
        <v>145</v>
      </c>
      <c r="S22" s="59"/>
      <c r="T22" s="47"/>
      <c r="U22" s="47"/>
      <c r="V22" s="47"/>
      <c r="W22" s="47"/>
      <c r="X22" s="47"/>
      <c r="Y22" s="47"/>
      <c r="Z22" s="47"/>
      <c r="AA22" s="41"/>
      <c r="AB22" s="39"/>
      <c r="AC22" s="40"/>
      <c r="AD22" s="41"/>
      <c r="AE22" s="47"/>
      <c r="AF22" s="47"/>
      <c r="AG22" s="40"/>
    </row>
    <row r="23" spans="1:33" s="21" customFormat="1" ht="14.4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  <c r="R23" s="45" t="s">
        <v>147</v>
      </c>
      <c r="S23" s="59"/>
      <c r="T23" s="47"/>
      <c r="U23" s="47"/>
      <c r="V23" s="47"/>
      <c r="W23" s="47"/>
      <c r="X23" s="47"/>
      <c r="Y23" s="47"/>
      <c r="Z23" s="47"/>
      <c r="AA23" s="41"/>
      <c r="AB23" s="39"/>
      <c r="AC23" s="40"/>
      <c r="AD23" s="41"/>
      <c r="AE23" s="47"/>
      <c r="AF23" s="47"/>
      <c r="AG23" s="40"/>
    </row>
    <row r="24" spans="1:33" s="21" customFormat="1" ht="14.4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  <c r="R24" s="45" t="s">
        <v>149</v>
      </c>
      <c r="S24" s="60"/>
      <c r="T24" s="47"/>
      <c r="U24" s="47"/>
      <c r="V24" s="47"/>
      <c r="W24" s="47"/>
      <c r="X24" s="47"/>
      <c r="Y24" s="47"/>
      <c r="Z24" s="47"/>
      <c r="AA24" s="41"/>
      <c r="AB24" s="39"/>
      <c r="AC24" s="40"/>
      <c r="AD24" s="41"/>
      <c r="AE24" s="47"/>
      <c r="AF24" s="47"/>
      <c r="AG24" s="40"/>
    </row>
    <row r="25" spans="1:33" s="21" customFormat="1" ht="15.6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5"/>
      <c r="R25" s="61"/>
      <c r="S25" s="62"/>
      <c r="T25" s="62"/>
      <c r="U25" s="62"/>
      <c r="V25" s="62"/>
      <c r="W25" s="62"/>
      <c r="X25" s="62"/>
      <c r="Y25" s="63" t="s">
        <v>256</v>
      </c>
      <c r="Z25" s="62"/>
      <c r="AA25" s="62"/>
      <c r="AB25" s="62"/>
      <c r="AC25" s="62"/>
      <c r="AD25" s="62"/>
      <c r="AE25" s="62"/>
      <c r="AF25" s="62"/>
      <c r="AG25" s="64"/>
    </row>
    <row r="26" spans="1:33" s="21" customFormat="1" ht="14.4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5"/>
      <c r="R26" s="36"/>
      <c r="S26" s="41"/>
      <c r="T26" s="47"/>
      <c r="U26" s="47"/>
      <c r="V26" s="39" t="s">
        <v>257</v>
      </c>
      <c r="W26" s="47"/>
      <c r="X26" s="40"/>
      <c r="Y26" s="41"/>
      <c r="Z26" s="39" t="s">
        <v>251</v>
      </c>
      <c r="AA26" s="40"/>
      <c r="AB26" s="36"/>
      <c r="AC26" s="36"/>
      <c r="AD26" s="36"/>
      <c r="AE26" s="36"/>
      <c r="AF26" s="36"/>
      <c r="AG26" s="36"/>
    </row>
    <row r="27" spans="1:33" s="21" customFormat="1" ht="14.4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5"/>
      <c r="R27" s="45" t="s">
        <v>152</v>
      </c>
      <c r="S27" s="59"/>
      <c r="T27" s="47"/>
      <c r="U27" s="47"/>
      <c r="V27" s="47"/>
      <c r="W27" s="47"/>
      <c r="X27" s="40"/>
      <c r="Y27" s="41"/>
      <c r="Z27" s="38"/>
      <c r="AA27" s="40"/>
      <c r="AB27" s="36"/>
      <c r="AC27" s="36"/>
      <c r="AD27" s="36"/>
      <c r="AE27" s="36"/>
      <c r="AF27" s="36"/>
      <c r="AG27" s="36"/>
    </row>
    <row r="28" spans="1:33" s="21" customFormat="1" ht="14.4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5"/>
      <c r="R28" s="45" t="s">
        <v>154</v>
      </c>
      <c r="S28" s="59"/>
      <c r="T28" s="47"/>
      <c r="U28" s="47"/>
      <c r="V28" s="47"/>
      <c r="W28" s="47"/>
      <c r="X28" s="40"/>
      <c r="Y28" s="41"/>
      <c r="Z28" s="38"/>
      <c r="AA28" s="40"/>
      <c r="AB28" s="36"/>
      <c r="AC28" s="36"/>
      <c r="AD28" s="36"/>
      <c r="AE28" s="36"/>
      <c r="AF28" s="36"/>
      <c r="AG28" s="36"/>
    </row>
    <row r="29" spans="1:33" s="21" customFormat="1" ht="14.4">
      <c r="A29" s="65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7"/>
      <c r="R29" s="45" t="s">
        <v>156</v>
      </c>
      <c r="S29" s="59"/>
      <c r="T29" s="47"/>
      <c r="U29" s="47"/>
      <c r="V29" s="47"/>
      <c r="W29" s="47"/>
      <c r="X29" s="40"/>
      <c r="Y29" s="41"/>
      <c r="Z29" s="38"/>
      <c r="AA29" s="40"/>
      <c r="AB29" s="36"/>
      <c r="AC29" s="36"/>
      <c r="AD29" s="36"/>
      <c r="AE29" s="36"/>
      <c r="AF29" s="36"/>
      <c r="AG29" s="36"/>
    </row>
    <row r="30" spans="1:33" s="21" customFormat="1" ht="14.4">
      <c r="A30" s="68" t="s">
        <v>258</v>
      </c>
      <c r="B30" s="69"/>
      <c r="C30" s="69"/>
      <c r="D30" s="70" t="s">
        <v>259</v>
      </c>
      <c r="E30" s="71">
        <f>LTol</f>
        <v>0</v>
      </c>
      <c r="F30" s="69"/>
      <c r="G30" s="69"/>
      <c r="H30" s="69"/>
      <c r="I30" s="69"/>
      <c r="J30" s="69"/>
      <c r="K30" s="69"/>
      <c r="L30" s="69" t="s">
        <v>260</v>
      </c>
      <c r="M30" s="69"/>
      <c r="N30" s="69"/>
      <c r="O30" s="69"/>
      <c r="P30" s="69"/>
      <c r="Q30" s="72"/>
      <c r="R30" s="45" t="s">
        <v>158</v>
      </c>
      <c r="S30" s="60"/>
      <c r="T30" s="47"/>
      <c r="U30" s="47"/>
      <c r="V30" s="47"/>
      <c r="W30" s="47"/>
      <c r="X30" s="40"/>
      <c r="Y30" s="41"/>
      <c r="Z30" s="38"/>
      <c r="AA30" s="40"/>
      <c r="AB30" s="36"/>
      <c r="AC30" s="36"/>
      <c r="AD30" s="36"/>
      <c r="AE30" s="36"/>
      <c r="AF30" s="36"/>
      <c r="AG30" s="36"/>
    </row>
    <row r="31" spans="1:33" s="21" customFormat="1" ht="14.4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 spans="1:33" s="21" customFormat="1" ht="14.4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 spans="1:34" s="21" customFormat="1" ht="15.6">
      <c r="A33" s="26" t="s">
        <v>261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 t="s">
        <v>262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 t="s">
        <v>263</v>
      </c>
      <c r="AE33" s="26"/>
      <c r="AF33" s="26"/>
      <c r="AG33" s="26"/>
      <c r="AH33" s="73"/>
    </row>
    <row r="34" spans="1:34" s="21" customFormat="1" ht="15.6">
      <c r="A34" s="74" t="s">
        <v>264</v>
      </c>
      <c r="B34" s="75"/>
      <c r="C34" s="76"/>
      <c r="D34" s="77"/>
      <c r="E34" s="78"/>
      <c r="F34" s="78" t="s">
        <v>265</v>
      </c>
      <c r="G34" s="76"/>
      <c r="H34" s="78"/>
      <c r="I34" s="76"/>
      <c r="J34" s="77"/>
      <c r="K34" s="78"/>
      <c r="L34" s="76"/>
      <c r="M34" s="75"/>
      <c r="N34" s="79" t="s">
        <v>266</v>
      </c>
      <c r="O34" s="77"/>
      <c r="P34" s="76"/>
      <c r="Q34" s="80"/>
      <c r="R34" s="76"/>
      <c r="S34" s="81" t="s">
        <v>267</v>
      </c>
      <c r="T34" s="80"/>
      <c r="U34" s="77"/>
      <c r="V34" s="77"/>
      <c r="W34" s="77"/>
      <c r="X34" s="78" t="s">
        <v>268</v>
      </c>
      <c r="Y34" s="77"/>
      <c r="Z34" s="76"/>
      <c r="AA34" s="82"/>
      <c r="AB34" s="77"/>
      <c r="AC34" s="77"/>
      <c r="AD34" s="78" t="s">
        <v>269</v>
      </c>
      <c r="AE34" s="77"/>
      <c r="AF34" s="77"/>
      <c r="AG34" s="82"/>
    </row>
    <row r="35" spans="1:34" s="21" customFormat="1" ht="15.6">
      <c r="A35" s="83">
        <v>1</v>
      </c>
      <c r="B35" s="84"/>
      <c r="C35" s="23"/>
      <c r="D35" s="85"/>
      <c r="E35" s="85"/>
      <c r="F35" s="85"/>
      <c r="G35" s="85"/>
      <c r="H35" s="85"/>
      <c r="I35" s="85"/>
      <c r="J35" s="85"/>
      <c r="K35" s="85"/>
      <c r="L35" s="85"/>
      <c r="M35" s="84"/>
      <c r="N35" s="85"/>
      <c r="O35" s="23"/>
      <c r="P35" s="86"/>
      <c r="Q35" s="87"/>
      <c r="R35" s="23"/>
      <c r="S35" s="86"/>
      <c r="T35" s="87"/>
      <c r="U35" s="23"/>
      <c r="V35" s="86"/>
      <c r="W35" s="86"/>
      <c r="X35" s="86"/>
      <c r="Y35" s="86"/>
      <c r="Z35" s="86"/>
      <c r="AA35" s="40"/>
      <c r="AB35" s="47"/>
      <c r="AC35" s="47"/>
      <c r="AD35" s="47"/>
      <c r="AE35" s="47"/>
      <c r="AF35" s="47"/>
      <c r="AG35" s="40"/>
    </row>
    <row r="36" spans="1:34" s="21" customFormat="1" ht="15.6">
      <c r="A36" s="83">
        <v>2</v>
      </c>
      <c r="B36" s="84"/>
      <c r="C36" s="88"/>
      <c r="D36" s="85"/>
      <c r="E36" s="85"/>
      <c r="F36" s="85"/>
      <c r="G36" s="85"/>
      <c r="H36" s="85"/>
      <c r="I36" s="85"/>
      <c r="J36" s="85"/>
      <c r="K36" s="85"/>
      <c r="L36" s="85"/>
      <c r="M36" s="84"/>
      <c r="N36" s="85"/>
      <c r="O36" s="85"/>
      <c r="P36" s="86"/>
      <c r="Q36" s="87"/>
      <c r="R36" s="86"/>
      <c r="S36" s="86"/>
      <c r="T36" s="87"/>
      <c r="U36" s="86"/>
      <c r="V36" s="86"/>
      <c r="W36" s="86"/>
      <c r="X36" s="86"/>
      <c r="Y36" s="86"/>
      <c r="Z36" s="86"/>
      <c r="AA36" s="40"/>
      <c r="AB36" s="47"/>
      <c r="AC36" s="47"/>
      <c r="AD36" s="47"/>
      <c r="AE36" s="47"/>
      <c r="AF36" s="47"/>
      <c r="AG36" s="40"/>
    </row>
    <row r="37" spans="1:34" s="21" customFormat="1" ht="15.6">
      <c r="A37" s="89"/>
      <c r="B37" s="89"/>
      <c r="C37" s="89"/>
      <c r="D37" s="89"/>
      <c r="E37" s="89"/>
      <c r="F37" s="89"/>
      <c r="G37"/>
      <c r="H37" s="89"/>
      <c r="I37" s="89"/>
      <c r="J37"/>
      <c r="K37" s="89"/>
      <c r="L37" s="89"/>
      <c r="M37"/>
      <c r="N37" s="89"/>
      <c r="O37" s="89"/>
      <c r="P37" s="90" t="s">
        <v>270</v>
      </c>
      <c r="Q37" s="91"/>
      <c r="R37" s="91"/>
      <c r="S37"/>
      <c r="T37"/>
      <c r="U37"/>
      <c r="V37" s="91"/>
      <c r="W37" s="91"/>
      <c r="X37" s="91"/>
      <c r="Y37" s="91"/>
      <c r="Z37" s="25"/>
      <c r="AA37"/>
      <c r="AC37" t="s">
        <v>324</v>
      </c>
      <c r="AD37"/>
      <c r="AE37" s="156"/>
      <c r="AF37" s="156"/>
      <c r="AG37" s="156"/>
    </row>
    <row r="38" spans="1:34" s="21" customFormat="1" ht="15.6">
      <c r="A38" s="89"/>
      <c r="B38" s="89"/>
      <c r="C38" s="89"/>
      <c r="D38" s="89"/>
      <c r="E38" s="89"/>
      <c r="F38" s="89"/>
      <c r="G38"/>
      <c r="H38" s="89"/>
      <c r="I38" s="89"/>
      <c r="J38"/>
      <c r="K38" s="89"/>
      <c r="L38" s="89"/>
      <c r="M38"/>
      <c r="N38" s="89"/>
      <c r="O38" s="89"/>
      <c r="P38" s="90"/>
      <c r="Q38" s="91"/>
      <c r="R38" s="91"/>
      <c r="S38"/>
      <c r="T38"/>
      <c r="U38"/>
      <c r="V38" s="91"/>
      <c r="W38" s="91"/>
      <c r="X38" s="91"/>
      <c r="Y38" s="91"/>
      <c r="Z38" s="89"/>
      <c r="AA38"/>
      <c r="AB38" t="s">
        <v>325</v>
      </c>
      <c r="AD38"/>
      <c r="AE38" s="157"/>
      <c r="AF38" s="157"/>
      <c r="AG38" s="157"/>
    </row>
    <row r="39" spans="1:34" s="21" customFormat="1" ht="15.6">
      <c r="A39" s="92"/>
      <c r="B39" s="93"/>
      <c r="C39" s="93"/>
      <c r="D39" s="93"/>
      <c r="E39" s="93"/>
      <c r="F39" s="93"/>
      <c r="G39" s="19"/>
      <c r="H39" s="93"/>
      <c r="I39" s="94"/>
      <c r="J39" s="95"/>
      <c r="K39" s="96"/>
      <c r="L39" s="76"/>
      <c r="M39" s="76"/>
      <c r="N39" s="77"/>
      <c r="O39" s="97" t="s">
        <v>248</v>
      </c>
      <c r="P39" s="77"/>
      <c r="Q39" s="98"/>
      <c r="R39" s="98"/>
      <c r="S39" s="98"/>
      <c r="T39" s="98"/>
      <c r="U39" s="99"/>
      <c r="V39" s="100"/>
      <c r="W39" s="77"/>
      <c r="X39" s="101" t="s">
        <v>254</v>
      </c>
      <c r="Y39" s="77"/>
      <c r="Z39" s="98"/>
      <c r="AA39" s="77"/>
      <c r="AB39" s="102"/>
      <c r="AC39" s="79" t="s">
        <v>257</v>
      </c>
      <c r="AD39" s="77"/>
      <c r="AE39" s="77"/>
      <c r="AF39" s="77"/>
      <c r="AG39" s="82"/>
    </row>
    <row r="40" spans="1:34" s="21" customFormat="1" ht="15.9" customHeight="1">
      <c r="A40" s="103"/>
      <c r="B40" s="92"/>
      <c r="C40" s="19"/>
      <c r="D40" s="94"/>
      <c r="E40" s="137" t="s">
        <v>271</v>
      </c>
      <c r="F40" s="19"/>
      <c r="G40" s="19"/>
      <c r="H40" s="19"/>
      <c r="I40" s="19"/>
      <c r="J40" s="138"/>
      <c r="K40" s="104" t="s">
        <v>120</v>
      </c>
      <c r="L40" s="105" t="s">
        <v>122</v>
      </c>
      <c r="M40" s="105" t="s">
        <v>124</v>
      </c>
      <c r="N40" s="105" t="s">
        <v>126</v>
      </c>
      <c r="O40" s="105" t="s">
        <v>128</v>
      </c>
      <c r="P40" s="105" t="s">
        <v>130</v>
      </c>
      <c r="Q40" s="105" t="s">
        <v>132</v>
      </c>
      <c r="R40" s="105" t="s">
        <v>134</v>
      </c>
      <c r="S40" s="105" t="s">
        <v>136</v>
      </c>
      <c r="T40" s="106" t="s">
        <v>138</v>
      </c>
      <c r="U40" s="107"/>
      <c r="V40" s="104" t="s">
        <v>141</v>
      </c>
      <c r="W40" s="105" t="s">
        <v>143</v>
      </c>
      <c r="X40" s="105" t="s">
        <v>145</v>
      </c>
      <c r="Y40" s="105" t="s">
        <v>147</v>
      </c>
      <c r="Z40" s="106" t="s">
        <v>149</v>
      </c>
      <c r="AA40" s="107"/>
      <c r="AB40" s="108" t="s">
        <v>152</v>
      </c>
      <c r="AC40" s="109" t="s">
        <v>154</v>
      </c>
      <c r="AD40" s="109" t="s">
        <v>156</v>
      </c>
      <c r="AE40" s="110" t="s">
        <v>158</v>
      </c>
      <c r="AF40" s="129"/>
      <c r="AG40" s="132" t="s">
        <v>272</v>
      </c>
      <c r="AH40" s="111" t="s">
        <v>273</v>
      </c>
    </row>
    <row r="41" spans="1:34" s="21" customFormat="1" ht="15.9" customHeight="1">
      <c r="A41" s="134"/>
      <c r="B41" s="145" t="s">
        <v>162</v>
      </c>
      <c r="C41" s="139"/>
      <c r="D41" s="140"/>
      <c r="E41" s="141"/>
      <c r="F41" s="139"/>
      <c r="G41" s="139"/>
      <c r="H41" s="139"/>
      <c r="I41" s="139"/>
      <c r="J41" s="142"/>
      <c r="K41" s="112">
        <f>LAM</f>
        <v>0</v>
      </c>
      <c r="L41" s="112">
        <f>LBM</f>
        <v>0</v>
      </c>
      <c r="M41" s="113">
        <f>LCM</f>
        <v>0</v>
      </c>
      <c r="N41" s="114">
        <f>LDM</f>
        <v>0</v>
      </c>
      <c r="O41" s="115">
        <f>LEM</f>
        <v>0</v>
      </c>
      <c r="P41" s="115">
        <f>LFM</f>
        <v>0</v>
      </c>
      <c r="Q41" s="115">
        <f>LGM</f>
        <v>0</v>
      </c>
      <c r="R41" s="115">
        <f>LHM</f>
        <v>0</v>
      </c>
      <c r="S41" s="115">
        <f>LIM</f>
        <v>0</v>
      </c>
      <c r="T41" s="115">
        <f>LJM</f>
        <v>0</v>
      </c>
      <c r="U41" s="116">
        <f>SUM(K41:T41)</f>
        <v>0</v>
      </c>
      <c r="V41" s="117">
        <f>LKM</f>
        <v>0</v>
      </c>
      <c r="W41" s="115">
        <f>LLM</f>
        <v>0</v>
      </c>
      <c r="X41" s="115">
        <f>LMM</f>
        <v>0</v>
      </c>
      <c r="Y41" s="115">
        <f>LNM</f>
        <v>0</v>
      </c>
      <c r="Z41" s="118">
        <f>LOM</f>
        <v>0</v>
      </c>
      <c r="AA41" s="116">
        <f>SUM(V41:Z41)</f>
        <v>0</v>
      </c>
      <c r="AB41" s="119">
        <f>LPM</f>
        <v>0</v>
      </c>
      <c r="AC41" s="115">
        <f>LQM</f>
        <v>0</v>
      </c>
      <c r="AD41" s="115">
        <f>LRM</f>
        <v>0</v>
      </c>
      <c r="AE41" s="118">
        <f>LSM</f>
        <v>0</v>
      </c>
      <c r="AF41" s="130">
        <f>SUM(AB41:AE41)</f>
        <v>0</v>
      </c>
      <c r="AG41" s="112">
        <f>U41+AA41+AF41</f>
        <v>0</v>
      </c>
      <c r="AH41" s="120"/>
    </row>
    <row r="42" spans="1:34" s="21" customFormat="1" ht="15.9" customHeight="1">
      <c r="A42" s="135">
        <v>1</v>
      </c>
      <c r="B42" s="146"/>
      <c r="C42" s="124"/>
      <c r="D42" s="124"/>
      <c r="E42" s="124"/>
      <c r="F42" s="124"/>
      <c r="G42" s="124"/>
      <c r="H42" s="124"/>
      <c r="I42" s="124"/>
      <c r="J42" s="87"/>
      <c r="K42" s="121" t="str">
        <f t="shared" ref="K42:K61" ca="1" si="0">IF(AH42="A",RANDBETWEEN(LAM*0.8,LAM*1),IF(AH42="B",RANDBETWEEN(LAM*0.6,LAM*1),IF(AH42="C",RANDBETWEEN(LAM*0.6,LAM*0.9),IF(AH42="D",RANDBETWEEN(LAM*0.5,LAM*0.8),IF(AH42="E",RANDBETWEEN(LAM*0.2,LAM*0.4),"")))))</f>
        <v/>
      </c>
      <c r="L42" s="121" t="str">
        <f t="shared" ref="L42:L61" ca="1" si="1">IF(AH42="A",RANDBETWEEN(LBM*0.8,LBM*1),IF(AH42="B",RANDBETWEEN(LBM*0.6,LBM*1),IF(AH42="C",RANDBETWEEN(LBM*0.6,LBM*0.9),IF(AH42="D",RANDBETWEEN(LBM*0.5,LBM*0.8),IF(AH42="E",RANDBETWEEN(LBM*0.2,LBM*0.4),"")))))</f>
        <v/>
      </c>
      <c r="M42" s="121" t="str">
        <f t="shared" ref="M42:M61" ca="1" si="2">IF(AH42="A",RANDBETWEEN(LCM*0.8,LCM*1),IF(AH42="B",RANDBETWEEN(LCM*0.6,LCM*1),IF(AH42="C",RANDBETWEEN(LCM*0.6,LCM*0.9),IF(AH42="D",RANDBETWEEN(LCM*0.5,LCM*0.8),IF(AH42="E",RANDBETWEEN(LCM*0.2,LCM*0.4),"")))))</f>
        <v/>
      </c>
      <c r="N42" s="121" t="str">
        <f t="shared" ref="N42:N61" ca="1" si="3">IF(AH42="A",RANDBETWEEN(LDM*0.8,LDM*1),IF(AH42="B",RANDBETWEEN(LDM*0.6,LDM*1),IF(AH42="C",RANDBETWEEN(LDM*0.6,LDM*0.9),IF(AH42="D",RANDBETWEEN(LDM*0.5,LDM*0.8),IF(AH42="E",RANDBETWEEN(LDM*0.2,LDM*0.4),"")))))</f>
        <v/>
      </c>
      <c r="O42" s="121" t="str">
        <f t="shared" ref="O42:O61" ca="1" si="4">IF(AH42="A",RANDBETWEEN(LEM*0.8,LEM*1),IF(AH42="B",RANDBETWEEN(LEM*0.6,LEM*1),IF(AH42="C",RANDBETWEEN(LEM*0.6,LEM*0.9),IF(AH42="D",RANDBETWEEN(LEM*0.5,LEM*0.8),IF(AH42="E",RANDBETWEEN(LEM*0.2,LEM*0.4),"")))))</f>
        <v/>
      </c>
      <c r="P42" s="121" t="str">
        <f t="shared" ref="P42:P61" ca="1" si="5">IF(AH42="A",RANDBETWEEN(LFM*0.8,LFM*1),IF(AH42="B",RANDBETWEEN(LFM*0.6,LFM*1),IF(AH42="C",RANDBETWEEN(LFM*0.6,LFM*0.9),IF(AH42="D",RANDBETWEEN(LFM*0.5,LFM*0.8),IF(AH42="E",RANDBETWEEN(LFM*0.2,LFM*0.4),"")))))</f>
        <v/>
      </c>
      <c r="Q42" s="121" t="str">
        <f t="shared" ref="Q42:Q61" ca="1" si="6">IF(AH42="A",RANDBETWEEN(LGM*0.8,LGM*1),IF(AH42="B",RANDBETWEEN(LGM*0.6,LGM*1),IF(AH42="C",RANDBETWEEN(LGM*0.6,LGM*0.9),IF(AH42="D",RANDBETWEEN(LGM*0.5,LGM*0.8),IF(AH42="E",RANDBETWEEN(LGM*0.2,LGM*0.4),"")))))</f>
        <v/>
      </c>
      <c r="R42" s="121" t="str">
        <f t="shared" ref="R42:R61" ca="1" si="7">IF(AH42="A",RANDBETWEEN(LHM*0.8,LHM*1),IF(AH42="B",RANDBETWEEN(LHM*0.6,LHM*1),IF(AH42="C",RANDBETWEEN(LHM*0.6,LHM*0.9),IF(AH42="D",RANDBETWEEN(LHM*0.5,LHM*0.8),IF(AH42="E",RANDBETWEEN(LHM*0.2,LHM*0.4),"")))))</f>
        <v/>
      </c>
      <c r="S42" s="121" t="str">
        <f t="shared" ref="S42:S61" ca="1" si="8">IF(AH42="A",RANDBETWEEN(LIM*0.8,LIM*1),IF(AH42="B",RANDBETWEEN(LIM*0.6,LIM*1),IF(AH42="C",RANDBETWEEN(LIM*0.6,LIM*0.9),IF(AH42="D",RANDBETWEEN(LIM*0.5,LIM*0.8),IF(AH42="E",RANDBETWEEN(LIM*0.2,LIM*0.4),"")))))</f>
        <v/>
      </c>
      <c r="T42" s="121" t="str">
        <f t="shared" ref="T42:T61" ca="1" si="9">IF(AH42="A",RANDBETWEEN(LJM*0.8,LJM*1),IF(AH42="B",RANDBETWEEN(LJM*0.6,LJM*1),IF(AH42="C",RANDBETWEEN(LJM*0.6,LJM*0.9),IF(AH42="D",RANDBETWEEN(LJM*0.5,LJM*0.8),IF(AH42="E",RANDBETWEEN(LJM*0.2,LJM*0.4),"")))))</f>
        <v/>
      </c>
      <c r="U42" s="122">
        <f t="shared" ref="U42:U61" ca="1" si="10">SUM(K42:S42)</f>
        <v>0</v>
      </c>
      <c r="V42" s="121" t="str">
        <f t="shared" ref="V42:V61" ca="1" si="11">IF(AH42="A",RANDBETWEEN(LKM*0.8,LKM*1),IF(AH42="B",RANDBETWEEN(LKM*0.7,LKM*0.9),IF(AH42="C",RANDBETWEEN(LKM*0.6,LKM*0.8),IF(AH42="D",RANDBETWEEN(LKM*0.5,LKM*0.7),IF(AH42="E",RANDBETWEEN(LKM*0.5,LKM*0.6),"")))))</f>
        <v/>
      </c>
      <c r="W42" s="121" t="str">
        <f t="shared" ref="W42:W61" ca="1" si="12">IF(AH42="A",RANDBETWEEN(LLM*0.8,LLM*1),IF(AH42="B",RANDBETWEEN(LLM*0.7,LLM*0.9),IF(AH42="C",RANDBETWEEN(LLM*0.6,LLM*0.8),IF(AH42="D",RANDBETWEEN(LLM*0.5,LLM*0.7),IF(AH42="E",RANDBETWEEN(LLM*0.5,LLM*0.6),"")))))</f>
        <v/>
      </c>
      <c r="X42" s="121" t="str">
        <f t="shared" ref="X42:X61" ca="1" si="13">IF(AH42="A",RANDBETWEEN(LMM*0.8,LMM*1),IF(AH42="B",RANDBETWEEN(LMM*0.7,LMM*0.9),IF(AH42="C",RANDBETWEEN(LMM*0.6,LMM*0.8),IF(AH42="D",RANDBETWEEN(LMM*0.5,LMM*0.7),IF(AH42="E",RANDBETWEEN(LMM*0.5,LMM*0.6),"")))))</f>
        <v/>
      </c>
      <c r="Y42" s="121" t="str">
        <f t="shared" ref="Y42:Y61" ca="1" si="14">IF(AH42="A",RANDBETWEEN(LNM*0.8,LNM*1),IF(AH42="B",RANDBETWEEN(LNM*0.7,LNM*0.9),IF(AH42="C",RANDBETWEEN(LNM*0.6,LNM*0.8),IF(AH42="D",RANDBETWEEN(LNM*0.5,LNM*0.7),IF(AH42="E",RANDBETWEEN(LNM*0.5,LNM*0.6),"")))))</f>
        <v/>
      </c>
      <c r="Z42" s="121" t="str">
        <f t="shared" ref="Z42:Z61" ca="1" si="15">IF(AH42="A",RANDBETWEEN(LOM*0.8,LOM*1),IF(AH42="B",RANDBETWEEN(LOM*0.7,LOM*0.9),IF(AH42="C",RANDBETWEEN(LOM*0.6,LOM*0.8),IF(AH42="D",RANDBETWEEN(LOM*0.5,LOM*0.7),IF(AH42="E",RANDBETWEEN(LOM*0.5,LOM*0.6),"")))))</f>
        <v/>
      </c>
      <c r="AA42" s="122">
        <f t="shared" ref="AA42:AA61" ca="1" si="16">SUM(V42:Z42)</f>
        <v>0</v>
      </c>
      <c r="AB42" s="121" t="str">
        <f t="shared" ref="AB42:AB61" ca="1" si="17">IF(AH42="A",RANDBETWEEN(LPM*0.8,LPM*1),IF(AH42="B",RANDBETWEEN(LPM*0.7,LPM*1),IF(AH42="C",RANDBETWEEN(LPM*0.5,LPM*0.8),IF(AH42="D",RANDBETWEEN(LPM*0.4,LPM*0.7),IF(AH42="E",RANDBETWEEN(LPM*0.4,LPM*0.5),"")))))</f>
        <v/>
      </c>
      <c r="AC42" s="121" t="str">
        <f t="shared" ref="AC42:AC61" ca="1" si="18">IF(AH42="A",RANDBETWEEN(LQM*0.8,LQM*1),IF(AH42="B",RANDBETWEEN(LQM*0.7,LQM*1),IF(AH42="C",RANDBETWEEN(LQM*0.5,LQM*0.8),IF(AH42="D",RANDBETWEEN(LQM*0.4,LQM*0.7),IF(AH42="E",RANDBETWEEN(LQM*0.4,LQM*0.5),"")))))</f>
        <v/>
      </c>
      <c r="AD42" s="121" t="str">
        <f t="shared" ref="AD42:AD61" ca="1" si="19">IF(AH42="A",RANDBETWEEN(LRM*0.8,LRM*1),IF(AH42="B",RANDBETWEEN(LRM*0.7,LRM*1),IF(AH42="C",RANDBETWEEN(LRM*0.5,LRM*0.8),IF(AH42="D",RANDBETWEEN(LRM*0.4,LRM*0.7),IF(AH42="E",RANDBETWEEN(LRM*0.4,LRM*0.5),"")))))</f>
        <v/>
      </c>
      <c r="AE42" s="121" t="str">
        <f t="shared" ref="AE42:AE61" ca="1" si="20">IF(AH42="A",RANDBETWEEN(LSM*0.8,LSM*1),IF(AH42="B",RANDBETWEEN(LSM*0.7,LSM*1),IF(AH42="C",RANDBETWEEN(LSM*0.5,LSM*0.8),IF(AH42="D",RANDBETWEEN(LSM*0.4,LSM*0.7),IF(AH42="E",RANDBETWEEN(LSM*0.4,LSM*0.5),"")))))</f>
        <v/>
      </c>
      <c r="AF42" s="131">
        <f t="shared" ref="AF42:AF61" ca="1" si="21">SUM(AB42:AE42)</f>
        <v>0</v>
      </c>
      <c r="AG42" s="133">
        <f t="shared" ref="AG42:AG61" ca="1" si="22">U42+AA42+AF42</f>
        <v>0</v>
      </c>
      <c r="AH42" s="123"/>
    </row>
    <row r="43" spans="1:34" s="21" customFormat="1" ht="15.9" customHeight="1">
      <c r="A43" s="136">
        <v>2</v>
      </c>
      <c r="B43" s="146"/>
      <c r="C43" s="124"/>
      <c r="D43" s="124"/>
      <c r="E43" s="124"/>
      <c r="F43" s="124"/>
      <c r="G43" s="124"/>
      <c r="H43" s="124"/>
      <c r="I43" s="124"/>
      <c r="J43" s="87"/>
      <c r="K43" s="121" t="str">
        <f t="shared" ca="1" si="0"/>
        <v/>
      </c>
      <c r="L43" s="121" t="str">
        <f t="shared" ca="1" si="1"/>
        <v/>
      </c>
      <c r="M43" s="121" t="str">
        <f t="shared" ca="1" si="2"/>
        <v/>
      </c>
      <c r="N43" s="121" t="str">
        <f t="shared" ca="1" si="3"/>
        <v/>
      </c>
      <c r="O43" s="121" t="str">
        <f t="shared" ca="1" si="4"/>
        <v/>
      </c>
      <c r="P43" s="121" t="str">
        <f t="shared" ca="1" si="5"/>
        <v/>
      </c>
      <c r="Q43" s="121" t="str">
        <f t="shared" ca="1" si="6"/>
        <v/>
      </c>
      <c r="R43" s="121" t="str">
        <f t="shared" ca="1" si="7"/>
        <v/>
      </c>
      <c r="S43" s="121" t="str">
        <f t="shared" ca="1" si="8"/>
        <v/>
      </c>
      <c r="T43" s="121" t="str">
        <f t="shared" ca="1" si="9"/>
        <v/>
      </c>
      <c r="U43" s="122">
        <f t="shared" ca="1" si="10"/>
        <v>0</v>
      </c>
      <c r="V43" s="121" t="str">
        <f t="shared" ca="1" si="11"/>
        <v/>
      </c>
      <c r="W43" s="121" t="str">
        <f t="shared" ca="1" si="12"/>
        <v/>
      </c>
      <c r="X43" s="121" t="str">
        <f t="shared" ca="1" si="13"/>
        <v/>
      </c>
      <c r="Y43" s="121" t="str">
        <f t="shared" ca="1" si="14"/>
        <v/>
      </c>
      <c r="Z43" s="121" t="str">
        <f t="shared" ca="1" si="15"/>
        <v/>
      </c>
      <c r="AA43" s="122">
        <f t="shared" ca="1" si="16"/>
        <v>0</v>
      </c>
      <c r="AB43" s="121" t="str">
        <f t="shared" ca="1" si="17"/>
        <v/>
      </c>
      <c r="AC43" s="121" t="str">
        <f t="shared" ca="1" si="18"/>
        <v/>
      </c>
      <c r="AD43" s="121" t="str">
        <f t="shared" ca="1" si="19"/>
        <v/>
      </c>
      <c r="AE43" s="121" t="str">
        <f t="shared" ca="1" si="20"/>
        <v/>
      </c>
      <c r="AF43" s="131">
        <f t="shared" ca="1" si="21"/>
        <v>0</v>
      </c>
      <c r="AG43" s="133">
        <f t="shared" ca="1" si="22"/>
        <v>0</v>
      </c>
      <c r="AH43" s="123"/>
    </row>
    <row r="44" spans="1:34" s="21" customFormat="1" ht="15.9" customHeight="1">
      <c r="A44" s="136">
        <v>3</v>
      </c>
      <c r="B44" s="146"/>
      <c r="C44" s="124"/>
      <c r="D44" s="124"/>
      <c r="E44" s="124"/>
      <c r="F44" s="124"/>
      <c r="G44" s="124"/>
      <c r="H44" s="124"/>
      <c r="I44" s="124"/>
      <c r="J44" s="87"/>
      <c r="K44" s="121" t="str">
        <f t="shared" ca="1" si="0"/>
        <v/>
      </c>
      <c r="L44" s="121" t="str">
        <f t="shared" ca="1" si="1"/>
        <v/>
      </c>
      <c r="M44" s="121" t="str">
        <f t="shared" ca="1" si="2"/>
        <v/>
      </c>
      <c r="N44" s="121" t="str">
        <f t="shared" ca="1" si="3"/>
        <v/>
      </c>
      <c r="O44" s="121" t="str">
        <f t="shared" ca="1" si="4"/>
        <v/>
      </c>
      <c r="P44" s="121" t="str">
        <f t="shared" ca="1" si="5"/>
        <v/>
      </c>
      <c r="Q44" s="121" t="str">
        <f t="shared" ca="1" si="6"/>
        <v/>
      </c>
      <c r="R44" s="121" t="str">
        <f t="shared" ca="1" si="7"/>
        <v/>
      </c>
      <c r="S44" s="121" t="str">
        <f t="shared" ca="1" si="8"/>
        <v/>
      </c>
      <c r="T44" s="121" t="str">
        <f t="shared" ca="1" si="9"/>
        <v/>
      </c>
      <c r="U44" s="122">
        <f t="shared" ca="1" si="10"/>
        <v>0</v>
      </c>
      <c r="V44" s="121" t="str">
        <f t="shared" ca="1" si="11"/>
        <v/>
      </c>
      <c r="W44" s="121" t="str">
        <f t="shared" ca="1" si="12"/>
        <v/>
      </c>
      <c r="X44" s="121" t="str">
        <f t="shared" ca="1" si="13"/>
        <v/>
      </c>
      <c r="Y44" s="121" t="str">
        <f t="shared" ca="1" si="14"/>
        <v/>
      </c>
      <c r="Z44" s="121" t="str">
        <f t="shared" ca="1" si="15"/>
        <v/>
      </c>
      <c r="AA44" s="122">
        <f t="shared" ca="1" si="16"/>
        <v>0</v>
      </c>
      <c r="AB44" s="121" t="str">
        <f t="shared" ca="1" si="17"/>
        <v/>
      </c>
      <c r="AC44" s="121" t="str">
        <f t="shared" ca="1" si="18"/>
        <v/>
      </c>
      <c r="AD44" s="121" t="str">
        <f t="shared" ca="1" si="19"/>
        <v/>
      </c>
      <c r="AE44" s="121" t="str">
        <f t="shared" ca="1" si="20"/>
        <v/>
      </c>
      <c r="AF44" s="131">
        <f t="shared" ca="1" si="21"/>
        <v>0</v>
      </c>
      <c r="AG44" s="133">
        <f t="shared" ca="1" si="22"/>
        <v>0</v>
      </c>
      <c r="AH44" s="123"/>
    </row>
    <row r="45" spans="1:34" s="21" customFormat="1" ht="15.9" customHeight="1">
      <c r="A45" s="136">
        <v>4</v>
      </c>
      <c r="B45" s="146"/>
      <c r="C45" s="124"/>
      <c r="D45" s="124"/>
      <c r="E45" s="124"/>
      <c r="F45" s="124"/>
      <c r="G45" s="124"/>
      <c r="H45" s="124"/>
      <c r="I45" s="124"/>
      <c r="J45" s="87"/>
      <c r="K45" s="121" t="str">
        <f t="shared" ca="1" si="0"/>
        <v/>
      </c>
      <c r="L45" s="121" t="str">
        <f t="shared" ca="1" si="1"/>
        <v/>
      </c>
      <c r="M45" s="121" t="str">
        <f t="shared" ca="1" si="2"/>
        <v/>
      </c>
      <c r="N45" s="121" t="str">
        <f t="shared" ca="1" si="3"/>
        <v/>
      </c>
      <c r="O45" s="121" t="str">
        <f t="shared" ca="1" si="4"/>
        <v/>
      </c>
      <c r="P45" s="121" t="str">
        <f t="shared" ca="1" si="5"/>
        <v/>
      </c>
      <c r="Q45" s="121" t="str">
        <f t="shared" ca="1" si="6"/>
        <v/>
      </c>
      <c r="R45" s="121" t="str">
        <f t="shared" ca="1" si="7"/>
        <v/>
      </c>
      <c r="S45" s="121" t="str">
        <f t="shared" ca="1" si="8"/>
        <v/>
      </c>
      <c r="T45" s="121" t="str">
        <f t="shared" ca="1" si="9"/>
        <v/>
      </c>
      <c r="U45" s="122">
        <f t="shared" ca="1" si="10"/>
        <v>0</v>
      </c>
      <c r="V45" s="121" t="str">
        <f t="shared" ca="1" si="11"/>
        <v/>
      </c>
      <c r="W45" s="121" t="str">
        <f t="shared" ca="1" si="12"/>
        <v/>
      </c>
      <c r="X45" s="121" t="str">
        <f t="shared" ca="1" si="13"/>
        <v/>
      </c>
      <c r="Y45" s="121" t="str">
        <f t="shared" ca="1" si="14"/>
        <v/>
      </c>
      <c r="Z45" s="121" t="str">
        <f t="shared" ca="1" si="15"/>
        <v/>
      </c>
      <c r="AA45" s="122">
        <f t="shared" ca="1" si="16"/>
        <v>0</v>
      </c>
      <c r="AB45" s="121" t="str">
        <f t="shared" ca="1" si="17"/>
        <v/>
      </c>
      <c r="AC45" s="121" t="str">
        <f t="shared" ca="1" si="18"/>
        <v/>
      </c>
      <c r="AD45" s="121" t="str">
        <f t="shared" ca="1" si="19"/>
        <v/>
      </c>
      <c r="AE45" s="121" t="str">
        <f t="shared" ca="1" si="20"/>
        <v/>
      </c>
      <c r="AF45" s="131">
        <f t="shared" ca="1" si="21"/>
        <v>0</v>
      </c>
      <c r="AG45" s="133">
        <f t="shared" ca="1" si="22"/>
        <v>0</v>
      </c>
      <c r="AH45" s="123"/>
    </row>
    <row r="46" spans="1:34" s="21" customFormat="1" ht="15.9" customHeight="1">
      <c r="A46" s="136">
        <v>5</v>
      </c>
      <c r="B46" s="146"/>
      <c r="C46" s="124"/>
      <c r="D46" s="124"/>
      <c r="E46" s="124"/>
      <c r="F46" s="124"/>
      <c r="G46" s="124"/>
      <c r="H46" s="124"/>
      <c r="I46" s="124"/>
      <c r="J46" s="87"/>
      <c r="K46" s="121" t="str">
        <f t="shared" ca="1" si="0"/>
        <v/>
      </c>
      <c r="L46" s="121" t="str">
        <f t="shared" ca="1" si="1"/>
        <v/>
      </c>
      <c r="M46" s="121" t="str">
        <f t="shared" ca="1" si="2"/>
        <v/>
      </c>
      <c r="N46" s="121" t="str">
        <f t="shared" ca="1" si="3"/>
        <v/>
      </c>
      <c r="O46" s="121" t="str">
        <f t="shared" ca="1" si="4"/>
        <v/>
      </c>
      <c r="P46" s="121" t="str">
        <f t="shared" ca="1" si="5"/>
        <v/>
      </c>
      <c r="Q46" s="121" t="str">
        <f t="shared" ca="1" si="6"/>
        <v/>
      </c>
      <c r="R46" s="121" t="str">
        <f t="shared" ca="1" si="7"/>
        <v/>
      </c>
      <c r="S46" s="121" t="str">
        <f t="shared" ca="1" si="8"/>
        <v/>
      </c>
      <c r="T46" s="121" t="str">
        <f t="shared" ca="1" si="9"/>
        <v/>
      </c>
      <c r="U46" s="122">
        <f t="shared" ca="1" si="10"/>
        <v>0</v>
      </c>
      <c r="V46" s="121" t="str">
        <f t="shared" ca="1" si="11"/>
        <v/>
      </c>
      <c r="W46" s="121" t="str">
        <f t="shared" ca="1" si="12"/>
        <v/>
      </c>
      <c r="X46" s="121" t="str">
        <f t="shared" ca="1" si="13"/>
        <v/>
      </c>
      <c r="Y46" s="121" t="str">
        <f t="shared" ca="1" si="14"/>
        <v/>
      </c>
      <c r="Z46" s="121" t="str">
        <f t="shared" ca="1" si="15"/>
        <v/>
      </c>
      <c r="AA46" s="122">
        <f t="shared" ca="1" si="16"/>
        <v>0</v>
      </c>
      <c r="AB46" s="121" t="str">
        <f t="shared" ca="1" si="17"/>
        <v/>
      </c>
      <c r="AC46" s="121" t="str">
        <f t="shared" ca="1" si="18"/>
        <v/>
      </c>
      <c r="AD46" s="121" t="str">
        <f t="shared" ca="1" si="19"/>
        <v/>
      </c>
      <c r="AE46" s="121" t="str">
        <f t="shared" ca="1" si="20"/>
        <v/>
      </c>
      <c r="AF46" s="131">
        <f t="shared" ca="1" si="21"/>
        <v>0</v>
      </c>
      <c r="AG46" s="133">
        <f t="shared" ca="1" si="22"/>
        <v>0</v>
      </c>
      <c r="AH46" s="123"/>
    </row>
    <row r="47" spans="1:34" s="21" customFormat="1" ht="15.9" customHeight="1">
      <c r="A47" s="136">
        <v>6</v>
      </c>
      <c r="B47" s="146"/>
      <c r="C47" s="124"/>
      <c r="D47" s="124"/>
      <c r="E47" s="124"/>
      <c r="F47" s="124"/>
      <c r="G47" s="124"/>
      <c r="H47" s="124"/>
      <c r="I47" s="124"/>
      <c r="J47" s="87"/>
      <c r="K47" s="121" t="str">
        <f t="shared" ca="1" si="0"/>
        <v/>
      </c>
      <c r="L47" s="121" t="str">
        <f t="shared" ca="1" si="1"/>
        <v/>
      </c>
      <c r="M47" s="121" t="str">
        <f t="shared" ca="1" si="2"/>
        <v/>
      </c>
      <c r="N47" s="121" t="str">
        <f t="shared" ca="1" si="3"/>
        <v/>
      </c>
      <c r="O47" s="121" t="str">
        <f t="shared" ca="1" si="4"/>
        <v/>
      </c>
      <c r="P47" s="121" t="str">
        <f t="shared" ca="1" si="5"/>
        <v/>
      </c>
      <c r="Q47" s="121" t="str">
        <f t="shared" ca="1" si="6"/>
        <v/>
      </c>
      <c r="R47" s="121" t="str">
        <f t="shared" ca="1" si="7"/>
        <v/>
      </c>
      <c r="S47" s="121" t="str">
        <f t="shared" ca="1" si="8"/>
        <v/>
      </c>
      <c r="T47" s="121" t="str">
        <f t="shared" ca="1" si="9"/>
        <v/>
      </c>
      <c r="U47" s="122">
        <f t="shared" ca="1" si="10"/>
        <v>0</v>
      </c>
      <c r="V47" s="121" t="str">
        <f t="shared" ca="1" si="11"/>
        <v/>
      </c>
      <c r="W47" s="121" t="str">
        <f t="shared" ca="1" si="12"/>
        <v/>
      </c>
      <c r="X47" s="121" t="str">
        <f t="shared" ca="1" si="13"/>
        <v/>
      </c>
      <c r="Y47" s="121" t="str">
        <f t="shared" ca="1" si="14"/>
        <v/>
      </c>
      <c r="Z47" s="121" t="str">
        <f t="shared" ca="1" si="15"/>
        <v/>
      </c>
      <c r="AA47" s="122">
        <f t="shared" ca="1" si="16"/>
        <v>0</v>
      </c>
      <c r="AB47" s="121" t="str">
        <f t="shared" ca="1" si="17"/>
        <v/>
      </c>
      <c r="AC47" s="121" t="str">
        <f t="shared" ca="1" si="18"/>
        <v/>
      </c>
      <c r="AD47" s="121" t="str">
        <f t="shared" ca="1" si="19"/>
        <v/>
      </c>
      <c r="AE47" s="121" t="str">
        <f t="shared" ca="1" si="20"/>
        <v/>
      </c>
      <c r="AF47" s="131">
        <f t="shared" ca="1" si="21"/>
        <v>0</v>
      </c>
      <c r="AG47" s="133">
        <f t="shared" ca="1" si="22"/>
        <v>0</v>
      </c>
      <c r="AH47" s="123"/>
    </row>
    <row r="48" spans="1:34" s="21" customFormat="1" ht="15.9" customHeight="1">
      <c r="A48" s="136">
        <v>7</v>
      </c>
      <c r="B48" s="146"/>
      <c r="C48" s="124"/>
      <c r="D48" s="124"/>
      <c r="E48" s="124"/>
      <c r="F48" s="124"/>
      <c r="G48" s="124"/>
      <c r="H48" s="124"/>
      <c r="I48" s="124"/>
      <c r="J48" s="87"/>
      <c r="K48" s="121" t="str">
        <f t="shared" ca="1" si="0"/>
        <v/>
      </c>
      <c r="L48" s="121" t="str">
        <f t="shared" ca="1" si="1"/>
        <v/>
      </c>
      <c r="M48" s="121" t="str">
        <f t="shared" ca="1" si="2"/>
        <v/>
      </c>
      <c r="N48" s="121" t="str">
        <f t="shared" ca="1" si="3"/>
        <v/>
      </c>
      <c r="O48" s="121" t="str">
        <f t="shared" ca="1" si="4"/>
        <v/>
      </c>
      <c r="P48" s="121" t="str">
        <f t="shared" ca="1" si="5"/>
        <v/>
      </c>
      <c r="Q48" s="121" t="str">
        <f t="shared" ca="1" si="6"/>
        <v/>
      </c>
      <c r="R48" s="121" t="str">
        <f t="shared" ca="1" si="7"/>
        <v/>
      </c>
      <c r="S48" s="121" t="str">
        <f t="shared" ca="1" si="8"/>
        <v/>
      </c>
      <c r="T48" s="121" t="str">
        <f t="shared" ca="1" si="9"/>
        <v/>
      </c>
      <c r="U48" s="122">
        <f t="shared" ca="1" si="10"/>
        <v>0</v>
      </c>
      <c r="V48" s="121" t="str">
        <f t="shared" ca="1" si="11"/>
        <v/>
      </c>
      <c r="W48" s="121" t="str">
        <f t="shared" ca="1" si="12"/>
        <v/>
      </c>
      <c r="X48" s="121" t="str">
        <f t="shared" ca="1" si="13"/>
        <v/>
      </c>
      <c r="Y48" s="121" t="str">
        <f t="shared" ca="1" si="14"/>
        <v/>
      </c>
      <c r="Z48" s="121" t="str">
        <f t="shared" ca="1" si="15"/>
        <v/>
      </c>
      <c r="AA48" s="122">
        <f t="shared" ca="1" si="16"/>
        <v>0</v>
      </c>
      <c r="AB48" s="121" t="str">
        <f t="shared" ca="1" si="17"/>
        <v/>
      </c>
      <c r="AC48" s="121" t="str">
        <f t="shared" ca="1" si="18"/>
        <v/>
      </c>
      <c r="AD48" s="121" t="str">
        <f t="shared" ca="1" si="19"/>
        <v/>
      </c>
      <c r="AE48" s="121" t="str">
        <f t="shared" ca="1" si="20"/>
        <v/>
      </c>
      <c r="AF48" s="131">
        <f t="shared" ca="1" si="21"/>
        <v>0</v>
      </c>
      <c r="AG48" s="133">
        <f t="shared" ca="1" si="22"/>
        <v>0</v>
      </c>
      <c r="AH48" s="123"/>
    </row>
    <row r="49" spans="1:37" s="21" customFormat="1" ht="15.9" customHeight="1">
      <c r="A49" s="136">
        <v>8</v>
      </c>
      <c r="B49" s="146"/>
      <c r="C49" s="124"/>
      <c r="D49" s="124"/>
      <c r="E49" s="124"/>
      <c r="F49" s="124"/>
      <c r="G49" s="124"/>
      <c r="H49" s="124"/>
      <c r="I49" s="124"/>
      <c r="J49" s="87"/>
      <c r="K49" s="121" t="str">
        <f t="shared" ca="1" si="0"/>
        <v/>
      </c>
      <c r="L49" s="121" t="str">
        <f t="shared" ca="1" si="1"/>
        <v/>
      </c>
      <c r="M49" s="121" t="str">
        <f t="shared" ca="1" si="2"/>
        <v/>
      </c>
      <c r="N49" s="121" t="str">
        <f t="shared" ca="1" si="3"/>
        <v/>
      </c>
      <c r="O49" s="121" t="str">
        <f t="shared" ca="1" si="4"/>
        <v/>
      </c>
      <c r="P49" s="121" t="str">
        <f t="shared" ca="1" si="5"/>
        <v/>
      </c>
      <c r="Q49" s="121" t="str">
        <f t="shared" ca="1" si="6"/>
        <v/>
      </c>
      <c r="R49" s="121" t="str">
        <f t="shared" ca="1" si="7"/>
        <v/>
      </c>
      <c r="S49" s="121" t="str">
        <f t="shared" ca="1" si="8"/>
        <v/>
      </c>
      <c r="T49" s="121" t="str">
        <f t="shared" ca="1" si="9"/>
        <v/>
      </c>
      <c r="U49" s="122">
        <f t="shared" ca="1" si="10"/>
        <v>0</v>
      </c>
      <c r="V49" s="121" t="str">
        <f t="shared" ca="1" si="11"/>
        <v/>
      </c>
      <c r="W49" s="121" t="str">
        <f t="shared" ca="1" si="12"/>
        <v/>
      </c>
      <c r="X49" s="121" t="str">
        <f t="shared" ca="1" si="13"/>
        <v/>
      </c>
      <c r="Y49" s="121" t="str">
        <f t="shared" ca="1" si="14"/>
        <v/>
      </c>
      <c r="Z49" s="121" t="str">
        <f t="shared" ca="1" si="15"/>
        <v/>
      </c>
      <c r="AA49" s="122">
        <f t="shared" ca="1" si="16"/>
        <v>0</v>
      </c>
      <c r="AB49" s="121" t="str">
        <f t="shared" ca="1" si="17"/>
        <v/>
      </c>
      <c r="AC49" s="121" t="str">
        <f t="shared" ca="1" si="18"/>
        <v/>
      </c>
      <c r="AD49" s="121" t="str">
        <f t="shared" ca="1" si="19"/>
        <v/>
      </c>
      <c r="AE49" s="121" t="str">
        <f t="shared" ca="1" si="20"/>
        <v/>
      </c>
      <c r="AF49" s="131">
        <f t="shared" ca="1" si="21"/>
        <v>0</v>
      </c>
      <c r="AG49" s="133">
        <f t="shared" ca="1" si="22"/>
        <v>0</v>
      </c>
      <c r="AH49" s="123"/>
    </row>
    <row r="50" spans="1:37" s="21" customFormat="1" ht="15.9" customHeight="1">
      <c r="A50" s="136">
        <v>9</v>
      </c>
      <c r="B50" s="146"/>
      <c r="C50" s="124"/>
      <c r="D50" s="124"/>
      <c r="E50" s="124"/>
      <c r="F50" s="124"/>
      <c r="G50" s="124"/>
      <c r="H50" s="124"/>
      <c r="I50" s="124"/>
      <c r="J50" s="87"/>
      <c r="K50" s="121" t="str">
        <f t="shared" ca="1" si="0"/>
        <v/>
      </c>
      <c r="L50" s="121" t="str">
        <f t="shared" ca="1" si="1"/>
        <v/>
      </c>
      <c r="M50" s="121" t="str">
        <f t="shared" ca="1" si="2"/>
        <v/>
      </c>
      <c r="N50" s="121" t="str">
        <f t="shared" ca="1" si="3"/>
        <v/>
      </c>
      <c r="O50" s="121" t="str">
        <f t="shared" ca="1" si="4"/>
        <v/>
      </c>
      <c r="P50" s="121" t="str">
        <f t="shared" ca="1" si="5"/>
        <v/>
      </c>
      <c r="Q50" s="121" t="str">
        <f t="shared" ca="1" si="6"/>
        <v/>
      </c>
      <c r="R50" s="121" t="str">
        <f t="shared" ca="1" si="7"/>
        <v/>
      </c>
      <c r="S50" s="121" t="str">
        <f t="shared" ca="1" si="8"/>
        <v/>
      </c>
      <c r="T50" s="121" t="str">
        <f t="shared" ca="1" si="9"/>
        <v/>
      </c>
      <c r="U50" s="122">
        <f t="shared" ca="1" si="10"/>
        <v>0</v>
      </c>
      <c r="V50" s="121" t="str">
        <f t="shared" ca="1" si="11"/>
        <v/>
      </c>
      <c r="W50" s="121" t="str">
        <f t="shared" ca="1" si="12"/>
        <v/>
      </c>
      <c r="X50" s="121" t="str">
        <f t="shared" ca="1" si="13"/>
        <v/>
      </c>
      <c r="Y50" s="121" t="str">
        <f t="shared" ca="1" si="14"/>
        <v/>
      </c>
      <c r="Z50" s="121" t="str">
        <f t="shared" ca="1" si="15"/>
        <v/>
      </c>
      <c r="AA50" s="122">
        <f t="shared" ca="1" si="16"/>
        <v>0</v>
      </c>
      <c r="AB50" s="121" t="str">
        <f t="shared" ca="1" si="17"/>
        <v/>
      </c>
      <c r="AC50" s="121" t="str">
        <f t="shared" ca="1" si="18"/>
        <v/>
      </c>
      <c r="AD50" s="121" t="str">
        <f t="shared" ca="1" si="19"/>
        <v/>
      </c>
      <c r="AE50" s="121" t="str">
        <f t="shared" ca="1" si="20"/>
        <v/>
      </c>
      <c r="AF50" s="131">
        <f t="shared" ca="1" si="21"/>
        <v>0</v>
      </c>
      <c r="AG50" s="133">
        <f t="shared" ca="1" si="22"/>
        <v>0</v>
      </c>
      <c r="AH50" s="123"/>
    </row>
    <row r="51" spans="1:37" s="21" customFormat="1" ht="15.9" customHeight="1">
      <c r="A51" s="136">
        <v>10</v>
      </c>
      <c r="B51" s="146"/>
      <c r="C51" s="124"/>
      <c r="D51" s="124"/>
      <c r="E51" s="124"/>
      <c r="F51" s="124"/>
      <c r="G51" s="124"/>
      <c r="H51" s="124"/>
      <c r="I51" s="124"/>
      <c r="J51" s="87"/>
      <c r="K51" s="121" t="str">
        <f t="shared" ca="1" si="0"/>
        <v/>
      </c>
      <c r="L51" s="121" t="str">
        <f t="shared" ca="1" si="1"/>
        <v/>
      </c>
      <c r="M51" s="121" t="str">
        <f t="shared" ca="1" si="2"/>
        <v/>
      </c>
      <c r="N51" s="121" t="str">
        <f t="shared" ca="1" si="3"/>
        <v/>
      </c>
      <c r="O51" s="121" t="str">
        <f t="shared" ca="1" si="4"/>
        <v/>
      </c>
      <c r="P51" s="121" t="str">
        <f t="shared" ca="1" si="5"/>
        <v/>
      </c>
      <c r="Q51" s="121" t="str">
        <f t="shared" ca="1" si="6"/>
        <v/>
      </c>
      <c r="R51" s="121" t="str">
        <f t="shared" ca="1" si="7"/>
        <v/>
      </c>
      <c r="S51" s="121" t="str">
        <f t="shared" ca="1" si="8"/>
        <v/>
      </c>
      <c r="T51" s="121" t="str">
        <f t="shared" ca="1" si="9"/>
        <v/>
      </c>
      <c r="U51" s="122">
        <f t="shared" ca="1" si="10"/>
        <v>0</v>
      </c>
      <c r="V51" s="121" t="str">
        <f t="shared" ca="1" si="11"/>
        <v/>
      </c>
      <c r="W51" s="121" t="str">
        <f t="shared" ca="1" si="12"/>
        <v/>
      </c>
      <c r="X51" s="121" t="str">
        <f t="shared" ca="1" si="13"/>
        <v/>
      </c>
      <c r="Y51" s="121" t="str">
        <f t="shared" ca="1" si="14"/>
        <v/>
      </c>
      <c r="Z51" s="121" t="str">
        <f t="shared" ca="1" si="15"/>
        <v/>
      </c>
      <c r="AA51" s="122">
        <f t="shared" ca="1" si="16"/>
        <v>0</v>
      </c>
      <c r="AB51" s="121" t="str">
        <f t="shared" ca="1" si="17"/>
        <v/>
      </c>
      <c r="AC51" s="121" t="str">
        <f t="shared" ca="1" si="18"/>
        <v/>
      </c>
      <c r="AD51" s="121" t="str">
        <f t="shared" ca="1" si="19"/>
        <v/>
      </c>
      <c r="AE51" s="121" t="str">
        <f t="shared" ca="1" si="20"/>
        <v/>
      </c>
      <c r="AF51" s="131">
        <f t="shared" ca="1" si="21"/>
        <v>0</v>
      </c>
      <c r="AG51" s="133">
        <f t="shared" ca="1" si="22"/>
        <v>0</v>
      </c>
      <c r="AH51" s="123"/>
      <c r="AK51" s="125"/>
    </row>
    <row r="52" spans="1:37" s="21" customFormat="1" ht="15.9" customHeight="1">
      <c r="A52" s="136">
        <v>11</v>
      </c>
      <c r="B52" s="146"/>
      <c r="C52" s="124"/>
      <c r="D52" s="124"/>
      <c r="E52" s="124"/>
      <c r="F52" s="124"/>
      <c r="G52" s="124"/>
      <c r="H52" s="124"/>
      <c r="I52" s="124"/>
      <c r="J52" s="87"/>
      <c r="K52" s="121" t="str">
        <f t="shared" ca="1" si="0"/>
        <v/>
      </c>
      <c r="L52" s="121" t="str">
        <f t="shared" ca="1" si="1"/>
        <v/>
      </c>
      <c r="M52" s="121" t="str">
        <f t="shared" ca="1" si="2"/>
        <v/>
      </c>
      <c r="N52" s="121" t="str">
        <f t="shared" ca="1" si="3"/>
        <v/>
      </c>
      <c r="O52" s="121" t="str">
        <f t="shared" ca="1" si="4"/>
        <v/>
      </c>
      <c r="P52" s="121" t="str">
        <f t="shared" ca="1" si="5"/>
        <v/>
      </c>
      <c r="Q52" s="121" t="str">
        <f t="shared" ca="1" si="6"/>
        <v/>
      </c>
      <c r="R52" s="121" t="str">
        <f t="shared" ca="1" si="7"/>
        <v/>
      </c>
      <c r="S52" s="121" t="str">
        <f t="shared" ca="1" si="8"/>
        <v/>
      </c>
      <c r="T52" s="121" t="str">
        <f t="shared" ca="1" si="9"/>
        <v/>
      </c>
      <c r="U52" s="122">
        <f t="shared" ca="1" si="10"/>
        <v>0</v>
      </c>
      <c r="V52" s="121" t="str">
        <f t="shared" ca="1" si="11"/>
        <v/>
      </c>
      <c r="W52" s="121" t="str">
        <f t="shared" ca="1" si="12"/>
        <v/>
      </c>
      <c r="X52" s="121" t="str">
        <f t="shared" ca="1" si="13"/>
        <v/>
      </c>
      <c r="Y52" s="121" t="str">
        <f t="shared" ca="1" si="14"/>
        <v/>
      </c>
      <c r="Z52" s="121" t="str">
        <f t="shared" ca="1" si="15"/>
        <v/>
      </c>
      <c r="AA52" s="122">
        <f t="shared" ca="1" si="16"/>
        <v>0</v>
      </c>
      <c r="AB52" s="121" t="str">
        <f t="shared" ca="1" si="17"/>
        <v/>
      </c>
      <c r="AC52" s="121" t="str">
        <f t="shared" ca="1" si="18"/>
        <v/>
      </c>
      <c r="AD52" s="121" t="str">
        <f t="shared" ca="1" si="19"/>
        <v/>
      </c>
      <c r="AE52" s="121" t="str">
        <f t="shared" ca="1" si="20"/>
        <v/>
      </c>
      <c r="AF52" s="131">
        <f t="shared" ca="1" si="21"/>
        <v>0</v>
      </c>
      <c r="AG52" s="133">
        <f t="shared" ca="1" si="22"/>
        <v>0</v>
      </c>
      <c r="AH52" s="123"/>
      <c r="AK52" s="125"/>
    </row>
    <row r="53" spans="1:37" s="21" customFormat="1" ht="15.9" customHeight="1">
      <c r="A53" s="136">
        <v>12</v>
      </c>
      <c r="B53" s="146"/>
      <c r="C53" s="124"/>
      <c r="D53" s="124"/>
      <c r="E53" s="124"/>
      <c r="F53" s="124"/>
      <c r="G53" s="124"/>
      <c r="H53" s="124"/>
      <c r="I53" s="124"/>
      <c r="J53" s="87"/>
      <c r="K53" s="121" t="str">
        <f t="shared" ca="1" si="0"/>
        <v/>
      </c>
      <c r="L53" s="121" t="str">
        <f t="shared" ca="1" si="1"/>
        <v/>
      </c>
      <c r="M53" s="121" t="str">
        <f t="shared" ca="1" si="2"/>
        <v/>
      </c>
      <c r="N53" s="121" t="str">
        <f t="shared" ca="1" si="3"/>
        <v/>
      </c>
      <c r="O53" s="121" t="str">
        <f t="shared" ca="1" si="4"/>
        <v/>
      </c>
      <c r="P53" s="121" t="str">
        <f t="shared" ca="1" si="5"/>
        <v/>
      </c>
      <c r="Q53" s="121" t="str">
        <f t="shared" ca="1" si="6"/>
        <v/>
      </c>
      <c r="R53" s="121" t="str">
        <f t="shared" ca="1" si="7"/>
        <v/>
      </c>
      <c r="S53" s="121" t="str">
        <f t="shared" ca="1" si="8"/>
        <v/>
      </c>
      <c r="T53" s="121" t="str">
        <f t="shared" ca="1" si="9"/>
        <v/>
      </c>
      <c r="U53" s="122">
        <f t="shared" ca="1" si="10"/>
        <v>0</v>
      </c>
      <c r="V53" s="121" t="str">
        <f t="shared" ca="1" si="11"/>
        <v/>
      </c>
      <c r="W53" s="121" t="str">
        <f t="shared" ca="1" si="12"/>
        <v/>
      </c>
      <c r="X53" s="121" t="str">
        <f t="shared" ca="1" si="13"/>
        <v/>
      </c>
      <c r="Y53" s="121" t="str">
        <f t="shared" ca="1" si="14"/>
        <v/>
      </c>
      <c r="Z53" s="121" t="str">
        <f t="shared" ca="1" si="15"/>
        <v/>
      </c>
      <c r="AA53" s="122">
        <f t="shared" ca="1" si="16"/>
        <v>0</v>
      </c>
      <c r="AB53" s="121" t="str">
        <f t="shared" ca="1" si="17"/>
        <v/>
      </c>
      <c r="AC53" s="121" t="str">
        <f t="shared" ca="1" si="18"/>
        <v/>
      </c>
      <c r="AD53" s="121" t="str">
        <f t="shared" ca="1" si="19"/>
        <v/>
      </c>
      <c r="AE53" s="121" t="str">
        <f t="shared" ca="1" si="20"/>
        <v/>
      </c>
      <c r="AF53" s="131">
        <f t="shared" ca="1" si="21"/>
        <v>0</v>
      </c>
      <c r="AG53" s="133">
        <f t="shared" ca="1" si="22"/>
        <v>0</v>
      </c>
      <c r="AH53" s="123"/>
      <c r="AK53" s="125"/>
    </row>
    <row r="54" spans="1:37" s="21" customFormat="1" ht="15.9" customHeight="1">
      <c r="A54" s="136">
        <v>13</v>
      </c>
      <c r="B54" s="146"/>
      <c r="C54" s="124"/>
      <c r="D54" s="124"/>
      <c r="E54" s="124"/>
      <c r="F54" s="124"/>
      <c r="G54" s="124"/>
      <c r="H54" s="124"/>
      <c r="I54" s="124"/>
      <c r="J54" s="87"/>
      <c r="K54" s="121" t="str">
        <f t="shared" ca="1" si="0"/>
        <v/>
      </c>
      <c r="L54" s="121" t="str">
        <f t="shared" ca="1" si="1"/>
        <v/>
      </c>
      <c r="M54" s="121" t="str">
        <f t="shared" ca="1" si="2"/>
        <v/>
      </c>
      <c r="N54" s="121" t="str">
        <f t="shared" ca="1" si="3"/>
        <v/>
      </c>
      <c r="O54" s="121" t="str">
        <f t="shared" ca="1" si="4"/>
        <v/>
      </c>
      <c r="P54" s="121" t="str">
        <f t="shared" ca="1" si="5"/>
        <v/>
      </c>
      <c r="Q54" s="121" t="str">
        <f t="shared" ca="1" si="6"/>
        <v/>
      </c>
      <c r="R54" s="121" t="str">
        <f t="shared" ca="1" si="7"/>
        <v/>
      </c>
      <c r="S54" s="121" t="str">
        <f t="shared" ca="1" si="8"/>
        <v/>
      </c>
      <c r="T54" s="121" t="str">
        <f t="shared" ca="1" si="9"/>
        <v/>
      </c>
      <c r="U54" s="122">
        <f t="shared" ca="1" si="10"/>
        <v>0</v>
      </c>
      <c r="V54" s="121" t="str">
        <f t="shared" ca="1" si="11"/>
        <v/>
      </c>
      <c r="W54" s="121" t="str">
        <f t="shared" ca="1" si="12"/>
        <v/>
      </c>
      <c r="X54" s="121" t="str">
        <f t="shared" ca="1" si="13"/>
        <v/>
      </c>
      <c r="Y54" s="121" t="str">
        <f t="shared" ca="1" si="14"/>
        <v/>
      </c>
      <c r="Z54" s="121" t="str">
        <f t="shared" ca="1" si="15"/>
        <v/>
      </c>
      <c r="AA54" s="122">
        <f t="shared" ca="1" si="16"/>
        <v>0</v>
      </c>
      <c r="AB54" s="121" t="str">
        <f t="shared" ca="1" si="17"/>
        <v/>
      </c>
      <c r="AC54" s="121" t="str">
        <f t="shared" ca="1" si="18"/>
        <v/>
      </c>
      <c r="AD54" s="121" t="str">
        <f t="shared" ca="1" si="19"/>
        <v/>
      </c>
      <c r="AE54" s="121" t="str">
        <f t="shared" ca="1" si="20"/>
        <v/>
      </c>
      <c r="AF54" s="131">
        <f t="shared" ca="1" si="21"/>
        <v>0</v>
      </c>
      <c r="AG54" s="133">
        <f t="shared" ca="1" si="22"/>
        <v>0</v>
      </c>
      <c r="AH54" s="123"/>
      <c r="AK54" s="125"/>
    </row>
    <row r="55" spans="1:37" s="21" customFormat="1" ht="15.9" customHeight="1">
      <c r="A55" s="136">
        <v>14</v>
      </c>
      <c r="B55" s="146"/>
      <c r="C55" s="124"/>
      <c r="D55" s="124"/>
      <c r="E55" s="124"/>
      <c r="F55" s="124"/>
      <c r="G55" s="124"/>
      <c r="H55" s="124"/>
      <c r="I55" s="124"/>
      <c r="J55" s="87"/>
      <c r="K55" s="121" t="str">
        <f t="shared" ca="1" si="0"/>
        <v/>
      </c>
      <c r="L55" s="121" t="str">
        <f t="shared" ca="1" si="1"/>
        <v/>
      </c>
      <c r="M55" s="121" t="str">
        <f t="shared" ca="1" si="2"/>
        <v/>
      </c>
      <c r="N55" s="121" t="str">
        <f t="shared" ca="1" si="3"/>
        <v/>
      </c>
      <c r="O55" s="121" t="str">
        <f t="shared" ca="1" si="4"/>
        <v/>
      </c>
      <c r="P55" s="121" t="str">
        <f t="shared" ca="1" si="5"/>
        <v/>
      </c>
      <c r="Q55" s="121" t="str">
        <f t="shared" ca="1" si="6"/>
        <v/>
      </c>
      <c r="R55" s="121" t="str">
        <f t="shared" ca="1" si="7"/>
        <v/>
      </c>
      <c r="S55" s="121" t="str">
        <f t="shared" ca="1" si="8"/>
        <v/>
      </c>
      <c r="T55" s="121" t="str">
        <f t="shared" ca="1" si="9"/>
        <v/>
      </c>
      <c r="U55" s="122">
        <f t="shared" ca="1" si="10"/>
        <v>0</v>
      </c>
      <c r="V55" s="121" t="str">
        <f t="shared" ca="1" si="11"/>
        <v/>
      </c>
      <c r="W55" s="121" t="str">
        <f t="shared" ca="1" si="12"/>
        <v/>
      </c>
      <c r="X55" s="121" t="str">
        <f t="shared" ca="1" si="13"/>
        <v/>
      </c>
      <c r="Y55" s="121" t="str">
        <f t="shared" ca="1" si="14"/>
        <v/>
      </c>
      <c r="Z55" s="121" t="str">
        <f t="shared" ca="1" si="15"/>
        <v/>
      </c>
      <c r="AA55" s="122">
        <f t="shared" ca="1" si="16"/>
        <v>0</v>
      </c>
      <c r="AB55" s="121" t="str">
        <f t="shared" ca="1" si="17"/>
        <v/>
      </c>
      <c r="AC55" s="121" t="str">
        <f t="shared" ca="1" si="18"/>
        <v/>
      </c>
      <c r="AD55" s="121" t="str">
        <f t="shared" ca="1" si="19"/>
        <v/>
      </c>
      <c r="AE55" s="121" t="str">
        <f t="shared" ca="1" si="20"/>
        <v/>
      </c>
      <c r="AF55" s="131">
        <f t="shared" ca="1" si="21"/>
        <v>0</v>
      </c>
      <c r="AG55" s="133">
        <f t="shared" ca="1" si="22"/>
        <v>0</v>
      </c>
      <c r="AH55" s="123"/>
      <c r="AK55" s="125"/>
    </row>
    <row r="56" spans="1:37" s="21" customFormat="1" ht="15.9" customHeight="1">
      <c r="A56" s="136">
        <v>15</v>
      </c>
      <c r="B56" s="146"/>
      <c r="C56" s="124"/>
      <c r="D56" s="124"/>
      <c r="E56" s="124"/>
      <c r="F56" s="124"/>
      <c r="G56" s="124"/>
      <c r="H56" s="124"/>
      <c r="I56" s="124"/>
      <c r="J56" s="87"/>
      <c r="K56" s="121" t="str">
        <f t="shared" ca="1" si="0"/>
        <v/>
      </c>
      <c r="L56" s="121" t="str">
        <f t="shared" ca="1" si="1"/>
        <v/>
      </c>
      <c r="M56" s="121" t="str">
        <f t="shared" ca="1" si="2"/>
        <v/>
      </c>
      <c r="N56" s="121" t="str">
        <f t="shared" ca="1" si="3"/>
        <v/>
      </c>
      <c r="O56" s="121" t="str">
        <f t="shared" ca="1" si="4"/>
        <v/>
      </c>
      <c r="P56" s="121" t="str">
        <f t="shared" ca="1" si="5"/>
        <v/>
      </c>
      <c r="Q56" s="121" t="str">
        <f t="shared" ca="1" si="6"/>
        <v/>
      </c>
      <c r="R56" s="121" t="str">
        <f t="shared" ca="1" si="7"/>
        <v/>
      </c>
      <c r="S56" s="121" t="str">
        <f t="shared" ca="1" si="8"/>
        <v/>
      </c>
      <c r="T56" s="121" t="str">
        <f t="shared" ca="1" si="9"/>
        <v/>
      </c>
      <c r="U56" s="122">
        <f t="shared" ca="1" si="10"/>
        <v>0</v>
      </c>
      <c r="V56" s="121" t="str">
        <f t="shared" ca="1" si="11"/>
        <v/>
      </c>
      <c r="W56" s="121" t="str">
        <f t="shared" ca="1" si="12"/>
        <v/>
      </c>
      <c r="X56" s="121" t="str">
        <f t="shared" ca="1" si="13"/>
        <v/>
      </c>
      <c r="Y56" s="121" t="str">
        <f t="shared" ca="1" si="14"/>
        <v/>
      </c>
      <c r="Z56" s="121" t="str">
        <f t="shared" ca="1" si="15"/>
        <v/>
      </c>
      <c r="AA56" s="122">
        <f t="shared" ca="1" si="16"/>
        <v>0</v>
      </c>
      <c r="AB56" s="121" t="str">
        <f t="shared" ca="1" si="17"/>
        <v/>
      </c>
      <c r="AC56" s="121" t="str">
        <f t="shared" ca="1" si="18"/>
        <v/>
      </c>
      <c r="AD56" s="121" t="str">
        <f t="shared" ca="1" si="19"/>
        <v/>
      </c>
      <c r="AE56" s="121" t="str">
        <f t="shared" ca="1" si="20"/>
        <v/>
      </c>
      <c r="AF56" s="131">
        <f t="shared" ca="1" si="21"/>
        <v>0</v>
      </c>
      <c r="AG56" s="133">
        <f t="shared" ca="1" si="22"/>
        <v>0</v>
      </c>
      <c r="AH56" s="123"/>
      <c r="AK56" s="125"/>
    </row>
    <row r="57" spans="1:37" s="21" customFormat="1" ht="15.9" customHeight="1">
      <c r="A57" s="136">
        <v>16</v>
      </c>
      <c r="B57" s="146"/>
      <c r="C57" s="124"/>
      <c r="D57" s="124"/>
      <c r="E57" s="124"/>
      <c r="F57" s="124"/>
      <c r="G57" s="124"/>
      <c r="H57" s="124"/>
      <c r="I57" s="124"/>
      <c r="J57" s="87"/>
      <c r="K57" s="121" t="str">
        <f t="shared" ca="1" si="0"/>
        <v/>
      </c>
      <c r="L57" s="121" t="str">
        <f t="shared" ca="1" si="1"/>
        <v/>
      </c>
      <c r="M57" s="121" t="str">
        <f t="shared" ca="1" si="2"/>
        <v/>
      </c>
      <c r="N57" s="121" t="str">
        <f t="shared" ca="1" si="3"/>
        <v/>
      </c>
      <c r="O57" s="121" t="str">
        <f t="shared" ca="1" si="4"/>
        <v/>
      </c>
      <c r="P57" s="121" t="str">
        <f t="shared" ca="1" si="5"/>
        <v/>
      </c>
      <c r="Q57" s="121" t="str">
        <f t="shared" ca="1" si="6"/>
        <v/>
      </c>
      <c r="R57" s="121" t="str">
        <f t="shared" ca="1" si="7"/>
        <v/>
      </c>
      <c r="S57" s="121" t="str">
        <f t="shared" ca="1" si="8"/>
        <v/>
      </c>
      <c r="T57" s="121" t="str">
        <f t="shared" ca="1" si="9"/>
        <v/>
      </c>
      <c r="U57" s="122">
        <f t="shared" ca="1" si="10"/>
        <v>0</v>
      </c>
      <c r="V57" s="121" t="str">
        <f t="shared" ca="1" si="11"/>
        <v/>
      </c>
      <c r="W57" s="121" t="str">
        <f t="shared" ca="1" si="12"/>
        <v/>
      </c>
      <c r="X57" s="121" t="str">
        <f t="shared" ca="1" si="13"/>
        <v/>
      </c>
      <c r="Y57" s="121" t="str">
        <f t="shared" ca="1" si="14"/>
        <v/>
      </c>
      <c r="Z57" s="121" t="str">
        <f t="shared" ca="1" si="15"/>
        <v/>
      </c>
      <c r="AA57" s="122">
        <f t="shared" ca="1" si="16"/>
        <v>0</v>
      </c>
      <c r="AB57" s="121" t="str">
        <f t="shared" ca="1" si="17"/>
        <v/>
      </c>
      <c r="AC57" s="121" t="str">
        <f t="shared" ca="1" si="18"/>
        <v/>
      </c>
      <c r="AD57" s="121" t="str">
        <f t="shared" ca="1" si="19"/>
        <v/>
      </c>
      <c r="AE57" s="121" t="str">
        <f t="shared" ca="1" si="20"/>
        <v/>
      </c>
      <c r="AF57" s="122">
        <f t="shared" ca="1" si="21"/>
        <v>0</v>
      </c>
      <c r="AG57" s="122">
        <f t="shared" ca="1" si="22"/>
        <v>0</v>
      </c>
      <c r="AH57" s="123"/>
      <c r="AK57" s="125"/>
    </row>
    <row r="58" spans="1:37" ht="15.9" customHeight="1">
      <c r="A58" s="136">
        <v>17</v>
      </c>
      <c r="B58" s="146"/>
      <c r="C58" s="124"/>
      <c r="D58" s="124"/>
      <c r="E58" s="124"/>
      <c r="F58" s="124"/>
      <c r="G58" s="124"/>
      <c r="H58" s="124"/>
      <c r="I58" s="124"/>
      <c r="J58" s="87"/>
      <c r="K58" s="121" t="str">
        <f t="shared" ca="1" si="0"/>
        <v/>
      </c>
      <c r="L58" s="121" t="str">
        <f t="shared" ca="1" si="1"/>
        <v/>
      </c>
      <c r="M58" s="121" t="str">
        <f t="shared" ca="1" si="2"/>
        <v/>
      </c>
      <c r="N58" s="121" t="str">
        <f t="shared" ca="1" si="3"/>
        <v/>
      </c>
      <c r="O58" s="121" t="str">
        <f t="shared" ca="1" si="4"/>
        <v/>
      </c>
      <c r="P58" s="121" t="str">
        <f t="shared" ca="1" si="5"/>
        <v/>
      </c>
      <c r="Q58" s="121" t="str">
        <f t="shared" ca="1" si="6"/>
        <v/>
      </c>
      <c r="R58" s="121" t="str">
        <f t="shared" ca="1" si="7"/>
        <v/>
      </c>
      <c r="S58" s="121" t="str">
        <f t="shared" ca="1" si="8"/>
        <v/>
      </c>
      <c r="T58" s="121" t="str">
        <f t="shared" ca="1" si="9"/>
        <v/>
      </c>
      <c r="U58" s="122">
        <f t="shared" ca="1" si="10"/>
        <v>0</v>
      </c>
      <c r="V58" s="121" t="str">
        <f t="shared" ca="1" si="11"/>
        <v/>
      </c>
      <c r="W58" s="121" t="str">
        <f t="shared" ca="1" si="12"/>
        <v/>
      </c>
      <c r="X58" s="121" t="str">
        <f t="shared" ca="1" si="13"/>
        <v/>
      </c>
      <c r="Y58" s="121" t="str">
        <f t="shared" ca="1" si="14"/>
        <v/>
      </c>
      <c r="Z58" s="121" t="str">
        <f t="shared" ca="1" si="15"/>
        <v/>
      </c>
      <c r="AA58" s="122">
        <f t="shared" ca="1" si="16"/>
        <v>0</v>
      </c>
      <c r="AB58" s="121" t="str">
        <f t="shared" ca="1" si="17"/>
        <v/>
      </c>
      <c r="AC58" s="121" t="str">
        <f t="shared" ca="1" si="18"/>
        <v/>
      </c>
      <c r="AD58" s="121" t="str">
        <f t="shared" ca="1" si="19"/>
        <v/>
      </c>
      <c r="AE58" s="121" t="str">
        <f t="shared" ca="1" si="20"/>
        <v/>
      </c>
      <c r="AF58" s="122">
        <f t="shared" ca="1" si="21"/>
        <v>0</v>
      </c>
      <c r="AG58" s="122">
        <f t="shared" ca="1" si="22"/>
        <v>0</v>
      </c>
      <c r="AH58" s="123"/>
      <c r="AK58" s="125"/>
    </row>
    <row r="59" spans="1:37" ht="15.9" customHeight="1">
      <c r="A59" s="136">
        <v>18</v>
      </c>
      <c r="B59" s="146"/>
      <c r="C59" s="124"/>
      <c r="D59" s="124"/>
      <c r="E59" s="124"/>
      <c r="F59" s="124"/>
      <c r="G59" s="124"/>
      <c r="H59" s="124"/>
      <c r="I59" s="124"/>
      <c r="J59" s="87"/>
      <c r="K59" s="121" t="str">
        <f t="shared" ca="1" si="0"/>
        <v/>
      </c>
      <c r="L59" s="121" t="str">
        <f t="shared" ca="1" si="1"/>
        <v/>
      </c>
      <c r="M59" s="121" t="str">
        <f t="shared" ca="1" si="2"/>
        <v/>
      </c>
      <c r="N59" s="121" t="str">
        <f t="shared" ca="1" si="3"/>
        <v/>
      </c>
      <c r="O59" s="121" t="str">
        <f t="shared" ca="1" si="4"/>
        <v/>
      </c>
      <c r="P59" s="121" t="str">
        <f t="shared" ca="1" si="5"/>
        <v/>
      </c>
      <c r="Q59" s="121" t="str">
        <f t="shared" ca="1" si="6"/>
        <v/>
      </c>
      <c r="R59" s="121" t="str">
        <f t="shared" ca="1" si="7"/>
        <v/>
      </c>
      <c r="S59" s="121" t="str">
        <f t="shared" ca="1" si="8"/>
        <v/>
      </c>
      <c r="T59" s="121" t="str">
        <f t="shared" ca="1" si="9"/>
        <v/>
      </c>
      <c r="U59" s="122">
        <f t="shared" ca="1" si="10"/>
        <v>0</v>
      </c>
      <c r="V59" s="121" t="str">
        <f t="shared" ca="1" si="11"/>
        <v/>
      </c>
      <c r="W59" s="121" t="str">
        <f t="shared" ca="1" si="12"/>
        <v/>
      </c>
      <c r="X59" s="121" t="str">
        <f t="shared" ca="1" si="13"/>
        <v/>
      </c>
      <c r="Y59" s="121" t="str">
        <f t="shared" ca="1" si="14"/>
        <v/>
      </c>
      <c r="Z59" s="121" t="str">
        <f t="shared" ca="1" si="15"/>
        <v/>
      </c>
      <c r="AA59" s="122">
        <f t="shared" ca="1" si="16"/>
        <v>0</v>
      </c>
      <c r="AB59" s="121" t="str">
        <f t="shared" ca="1" si="17"/>
        <v/>
      </c>
      <c r="AC59" s="121" t="str">
        <f t="shared" ca="1" si="18"/>
        <v/>
      </c>
      <c r="AD59" s="121" t="str">
        <f t="shared" ca="1" si="19"/>
        <v/>
      </c>
      <c r="AE59" s="121" t="str">
        <f t="shared" ca="1" si="20"/>
        <v/>
      </c>
      <c r="AF59" s="122">
        <f t="shared" ca="1" si="21"/>
        <v>0</v>
      </c>
      <c r="AG59" s="122">
        <f t="shared" ca="1" si="22"/>
        <v>0</v>
      </c>
      <c r="AH59" s="123"/>
    </row>
    <row r="60" spans="1:37" ht="15.9" customHeight="1">
      <c r="A60" s="136">
        <v>19</v>
      </c>
      <c r="B60" s="146"/>
      <c r="C60" s="124"/>
      <c r="D60" s="124"/>
      <c r="E60" s="124"/>
      <c r="F60" s="124"/>
      <c r="G60" s="124"/>
      <c r="H60" s="124"/>
      <c r="I60" s="124"/>
      <c r="J60" s="87"/>
      <c r="K60" s="121" t="str">
        <f t="shared" ca="1" si="0"/>
        <v/>
      </c>
      <c r="L60" s="121" t="str">
        <f t="shared" ca="1" si="1"/>
        <v/>
      </c>
      <c r="M60" s="121" t="str">
        <f t="shared" ca="1" si="2"/>
        <v/>
      </c>
      <c r="N60" s="121" t="str">
        <f t="shared" ca="1" si="3"/>
        <v/>
      </c>
      <c r="O60" s="121" t="str">
        <f t="shared" ca="1" si="4"/>
        <v/>
      </c>
      <c r="P60" s="121" t="str">
        <f t="shared" ca="1" si="5"/>
        <v/>
      </c>
      <c r="Q60" s="121" t="str">
        <f t="shared" ca="1" si="6"/>
        <v/>
      </c>
      <c r="R60" s="121" t="str">
        <f t="shared" ca="1" si="7"/>
        <v/>
      </c>
      <c r="S60" s="121" t="str">
        <f t="shared" ca="1" si="8"/>
        <v/>
      </c>
      <c r="T60" s="121" t="str">
        <f t="shared" ca="1" si="9"/>
        <v/>
      </c>
      <c r="U60" s="122">
        <f t="shared" ca="1" si="10"/>
        <v>0</v>
      </c>
      <c r="V60" s="121" t="str">
        <f t="shared" ca="1" si="11"/>
        <v/>
      </c>
      <c r="W60" s="121" t="str">
        <f t="shared" ca="1" si="12"/>
        <v/>
      </c>
      <c r="X60" s="121" t="str">
        <f t="shared" ca="1" si="13"/>
        <v/>
      </c>
      <c r="Y60" s="121" t="str">
        <f t="shared" ca="1" si="14"/>
        <v/>
      </c>
      <c r="Z60" s="121" t="str">
        <f t="shared" ca="1" si="15"/>
        <v/>
      </c>
      <c r="AA60" s="122">
        <f t="shared" ca="1" si="16"/>
        <v>0</v>
      </c>
      <c r="AB60" s="121" t="str">
        <f t="shared" ca="1" si="17"/>
        <v/>
      </c>
      <c r="AC60" s="121" t="str">
        <f t="shared" ca="1" si="18"/>
        <v/>
      </c>
      <c r="AD60" s="121" t="str">
        <f t="shared" ca="1" si="19"/>
        <v/>
      </c>
      <c r="AE60" s="121" t="str">
        <f t="shared" ca="1" si="20"/>
        <v/>
      </c>
      <c r="AF60" s="122">
        <f t="shared" ca="1" si="21"/>
        <v>0</v>
      </c>
      <c r="AG60" s="122">
        <f t="shared" ca="1" si="22"/>
        <v>0</v>
      </c>
      <c r="AH60" s="123"/>
    </row>
    <row r="61" spans="1:37" ht="15.9" customHeight="1">
      <c r="A61" s="136">
        <v>20</v>
      </c>
      <c r="B61" s="146"/>
      <c r="C61" s="124"/>
      <c r="D61" s="124"/>
      <c r="E61" s="124"/>
      <c r="F61" s="124"/>
      <c r="G61" s="124"/>
      <c r="H61" s="124"/>
      <c r="I61" s="124"/>
      <c r="J61" s="87"/>
      <c r="K61" s="153" t="str">
        <f t="shared" ca="1" si="0"/>
        <v/>
      </c>
      <c r="L61" s="153" t="str">
        <f t="shared" ca="1" si="1"/>
        <v/>
      </c>
      <c r="M61" s="153" t="str">
        <f t="shared" ca="1" si="2"/>
        <v/>
      </c>
      <c r="N61" s="121" t="str">
        <f t="shared" ca="1" si="3"/>
        <v/>
      </c>
      <c r="O61" s="153" t="str">
        <f t="shared" ca="1" si="4"/>
        <v/>
      </c>
      <c r="P61" s="121" t="str">
        <f t="shared" ca="1" si="5"/>
        <v/>
      </c>
      <c r="Q61" s="154" t="str">
        <f t="shared" ca="1" si="6"/>
        <v/>
      </c>
      <c r="R61" s="154" t="str">
        <f t="shared" ca="1" si="7"/>
        <v/>
      </c>
      <c r="S61" s="154" t="str">
        <f t="shared" ca="1" si="8"/>
        <v/>
      </c>
      <c r="T61" s="153" t="str">
        <f t="shared" ca="1" si="9"/>
        <v/>
      </c>
      <c r="U61" s="152">
        <f t="shared" ca="1" si="10"/>
        <v>0</v>
      </c>
      <c r="V61" s="121" t="str">
        <f t="shared" ca="1" si="11"/>
        <v/>
      </c>
      <c r="W61" s="121" t="str">
        <f t="shared" ca="1" si="12"/>
        <v/>
      </c>
      <c r="X61" s="121" t="str">
        <f t="shared" ca="1" si="13"/>
        <v/>
      </c>
      <c r="Y61" s="121" t="str">
        <f t="shared" ca="1" si="14"/>
        <v/>
      </c>
      <c r="Z61" s="121" t="str">
        <f t="shared" ca="1" si="15"/>
        <v/>
      </c>
      <c r="AA61" s="122">
        <f t="shared" ca="1" si="16"/>
        <v>0</v>
      </c>
      <c r="AB61" s="121" t="str">
        <f t="shared" ca="1" si="17"/>
        <v/>
      </c>
      <c r="AC61" s="121" t="str">
        <f t="shared" ca="1" si="18"/>
        <v/>
      </c>
      <c r="AD61" s="121" t="str">
        <f t="shared" ca="1" si="19"/>
        <v/>
      </c>
      <c r="AE61" s="121" t="str">
        <f t="shared" ca="1" si="20"/>
        <v/>
      </c>
      <c r="AF61" s="122">
        <f t="shared" ca="1" si="21"/>
        <v>0</v>
      </c>
      <c r="AG61" s="122">
        <f t="shared" ca="1" si="22"/>
        <v>0</v>
      </c>
      <c r="AH61" s="123"/>
    </row>
    <row r="62" spans="1:37" ht="14.4"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</row>
    <row r="63" spans="1:37" ht="14.4"/>
    <row r="64" spans="1:37" ht="15.6">
      <c r="A64" s="127">
        <f>Q3</f>
        <v>0</v>
      </c>
      <c r="D64" s="23" t="s">
        <v>261</v>
      </c>
      <c r="T64" s="26" t="s">
        <v>262</v>
      </c>
      <c r="AD64" s="26" t="s">
        <v>263</v>
      </c>
    </row>
  </sheetData>
  <sheetProtection selectLockedCells="1"/>
  <mergeCells count="2">
    <mergeCell ref="AE37:AG37"/>
    <mergeCell ref="AE38:AG38"/>
  </mergeCells>
  <conditionalFormatting sqref="K41:T41 V41:AH41 U41:U61 AA42:AA61 AF42:AG61">
    <cfRule type="cellIs" dxfId="3" priority="17" operator="equal">
      <formula>0</formula>
    </cfRule>
  </conditionalFormatting>
  <conditionalFormatting sqref="K42:T60 N42:N61 P42:P61">
    <cfRule type="cellIs" dxfId="2" priority="7" operator="equal">
      <formula>0</formula>
    </cfRule>
  </conditionalFormatting>
  <conditionalFormatting sqref="V42:Z61">
    <cfRule type="cellIs" dxfId="1" priority="2" operator="equal">
      <formula>0</formula>
    </cfRule>
  </conditionalFormatting>
  <conditionalFormatting sqref="AB42:AE61">
    <cfRule type="cellIs" dxfId="0" priority="1" operator="equal">
      <formula>0</formula>
    </cfRule>
  </conditionalFormatting>
  <printOptions horizontalCentered="1" verticalCentered="1"/>
  <pageMargins left="0.19685039370078741" right="0.19685039370078741" top="0.74803149606299213" bottom="0.74803149606299213" header="0" footer="7.874015748031496E-2"/>
  <pageSetup paperSize="9" scale="9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EC86-1D94-439C-B8B5-209C41F3B5A6}">
  <sheetPr codeName="Sheet5"/>
  <dimension ref="A1:XFC21"/>
  <sheetViews>
    <sheetView showRowColHeaders="0" workbookViewId="0">
      <selection activeCell="C21" sqref="C21"/>
    </sheetView>
  </sheetViews>
  <sheetFormatPr defaultColWidth="0" defaultRowHeight="14.4" zeroHeight="1"/>
  <cols>
    <col min="1" max="1" width="5.33203125" style="36" customWidth="1"/>
    <col min="2" max="2" width="56.33203125" style="36" customWidth="1"/>
    <col min="3" max="3" width="10.44140625" customWidth="1"/>
    <col min="4" max="16382" width="54.5546875" hidden="1"/>
    <col min="16383" max="16383" width="0.88671875" hidden="1"/>
    <col min="16384" max="16384" width="4.33203125" hidden="1"/>
  </cols>
  <sheetData>
    <row r="1" spans="1:3" ht="18">
      <c r="B1" s="143" t="s">
        <v>275</v>
      </c>
      <c r="C1" s="143" t="s">
        <v>276</v>
      </c>
    </row>
    <row r="2" spans="1:3" ht="15.6">
      <c r="A2" s="36" cm="1">
        <f t="array" ref="A2:A21">_xlfn.SEQUENCE(20)</f>
        <v>1</v>
      </c>
      <c r="B2" s="144" t="s">
        <v>302</v>
      </c>
      <c r="C2" s="147" t="s">
        <v>120</v>
      </c>
    </row>
    <row r="3" spans="1:3" ht="15.6">
      <c r="A3" s="36">
        <v>2</v>
      </c>
      <c r="B3" s="144" t="s">
        <v>303</v>
      </c>
      <c r="C3" s="147" t="s">
        <v>124</v>
      </c>
    </row>
    <row r="4" spans="1:3" ht="15.6">
      <c r="A4" s="36">
        <v>3</v>
      </c>
      <c r="B4" s="144" t="s">
        <v>304</v>
      </c>
      <c r="C4" s="147" t="s">
        <v>126</v>
      </c>
    </row>
    <row r="5" spans="1:3" ht="15.6">
      <c r="A5" s="36">
        <v>4</v>
      </c>
      <c r="B5" s="144" t="s">
        <v>305</v>
      </c>
      <c r="C5" s="147" t="s">
        <v>122</v>
      </c>
    </row>
    <row r="6" spans="1:3" ht="15.6">
      <c r="A6" s="36">
        <v>5</v>
      </c>
      <c r="B6" s="144" t="s">
        <v>306</v>
      </c>
      <c r="C6" s="147" t="s">
        <v>120</v>
      </c>
    </row>
    <row r="7" spans="1:3" ht="15.6">
      <c r="A7" s="36">
        <v>6</v>
      </c>
      <c r="B7" s="144" t="s">
        <v>307</v>
      </c>
      <c r="C7" s="147" t="s">
        <v>126</v>
      </c>
    </row>
    <row r="8" spans="1:3" ht="15.6">
      <c r="A8" s="36">
        <v>7</v>
      </c>
      <c r="B8" s="144" t="s">
        <v>308</v>
      </c>
      <c r="C8" s="147" t="s">
        <v>122</v>
      </c>
    </row>
    <row r="9" spans="1:3" ht="15.6">
      <c r="A9" s="36">
        <v>8</v>
      </c>
      <c r="B9" s="144" t="s">
        <v>309</v>
      </c>
      <c r="C9" s="147" t="s">
        <v>120</v>
      </c>
    </row>
    <row r="10" spans="1:3" ht="15.6">
      <c r="A10" s="36">
        <v>9</v>
      </c>
      <c r="B10" s="144" t="s">
        <v>310</v>
      </c>
      <c r="C10" s="147" t="s">
        <v>122</v>
      </c>
    </row>
    <row r="11" spans="1:3" ht="15.6">
      <c r="A11" s="36">
        <v>10</v>
      </c>
      <c r="B11" s="144" t="s">
        <v>311</v>
      </c>
      <c r="C11" s="147" t="s">
        <v>122</v>
      </c>
    </row>
    <row r="12" spans="1:3" ht="15.6">
      <c r="A12" s="36">
        <v>11</v>
      </c>
      <c r="B12" s="144" t="s">
        <v>312</v>
      </c>
      <c r="C12" s="147" t="s">
        <v>120</v>
      </c>
    </row>
    <row r="13" spans="1:3" ht="15.6">
      <c r="A13" s="36">
        <v>12</v>
      </c>
      <c r="B13" s="144" t="s">
        <v>313</v>
      </c>
      <c r="C13" s="147" t="s">
        <v>122</v>
      </c>
    </row>
    <row r="14" spans="1:3" ht="15.6">
      <c r="A14" s="36">
        <v>13</v>
      </c>
      <c r="B14" s="144" t="s">
        <v>314</v>
      </c>
      <c r="C14" s="147" t="s">
        <v>124</v>
      </c>
    </row>
    <row r="15" spans="1:3" ht="15.6">
      <c r="A15" s="36">
        <v>14</v>
      </c>
      <c r="B15" s="144" t="s">
        <v>315</v>
      </c>
      <c r="C15" s="147" t="s">
        <v>122</v>
      </c>
    </row>
    <row r="16" spans="1:3" ht="15.6">
      <c r="A16" s="36">
        <v>15</v>
      </c>
      <c r="B16" s="144" t="s">
        <v>316</v>
      </c>
      <c r="C16" s="147" t="s">
        <v>124</v>
      </c>
    </row>
    <row r="17" spans="1:3" ht="15.6">
      <c r="A17" s="36">
        <v>16</v>
      </c>
      <c r="B17" s="144" t="s">
        <v>317</v>
      </c>
      <c r="C17" s="147" t="s">
        <v>120</v>
      </c>
    </row>
    <row r="18" spans="1:3" ht="15.6">
      <c r="A18" s="36">
        <v>17</v>
      </c>
      <c r="B18" s="144" t="s">
        <v>318</v>
      </c>
      <c r="C18" s="147" t="s">
        <v>122</v>
      </c>
    </row>
    <row r="19" spans="1:3" ht="15.6">
      <c r="A19" s="36">
        <v>18</v>
      </c>
      <c r="B19" s="144" t="s">
        <v>319</v>
      </c>
      <c r="C19" s="147" t="s">
        <v>120</v>
      </c>
    </row>
    <row r="20" spans="1:3" ht="15.6">
      <c r="A20" s="36">
        <v>19</v>
      </c>
      <c r="B20" s="36" t="s">
        <v>320</v>
      </c>
      <c r="C20" s="149" t="s">
        <v>122</v>
      </c>
    </row>
    <row r="21" spans="1:3" ht="15.6">
      <c r="A21" s="36">
        <v>20</v>
      </c>
      <c r="B21" s="36" t="s">
        <v>321</v>
      </c>
      <c r="C21" s="148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228D-D9C6-45CF-AEF9-CB4362B2ADB2}">
  <sheetPr codeName="Sheet9"/>
  <dimension ref="A1:AV106"/>
  <sheetViews>
    <sheetView showRowColHeaders="0" zoomScale="145" zoomScaleNormal="145" workbookViewId="0">
      <pane xSplit="3" ySplit="1" topLeftCell="AG2" activePane="bottomRight" state="frozen"/>
      <selection activeCell="AH6" sqref="AH6"/>
      <selection pane="topRight" activeCell="AH6" sqref="AH6"/>
      <selection pane="bottomLeft" activeCell="AH6" sqref="AH6"/>
      <selection pane="bottomRight" activeCell="C13" sqref="C13"/>
    </sheetView>
  </sheetViews>
  <sheetFormatPr defaultColWidth="0" defaultRowHeight="12" customHeight="1" zeroHeight="1"/>
  <cols>
    <col min="1" max="1" width="6.44140625" style="14" bestFit="1" customWidth="1"/>
    <col min="2" max="2" width="7.44140625" style="14" bestFit="1" customWidth="1"/>
    <col min="3" max="3" width="56" style="14" bestFit="1" customWidth="1"/>
    <col min="4" max="4" width="48.88671875" style="1" bestFit="1" customWidth="1"/>
    <col min="5" max="5" width="5.44140625" style="14" bestFit="1" customWidth="1"/>
    <col min="6" max="6" width="6.109375" style="14" bestFit="1" customWidth="1"/>
    <col min="7" max="7" width="5.6640625" style="14" bestFit="1" customWidth="1"/>
    <col min="8" max="8" width="8.109375" style="14" bestFit="1" customWidth="1"/>
    <col min="9" max="9" width="5.6640625" style="14" bestFit="1" customWidth="1"/>
    <col min="10" max="10" width="10" style="14" bestFit="1" customWidth="1"/>
    <col min="11" max="11" width="5.5546875" style="14" bestFit="1" customWidth="1"/>
    <col min="12" max="12" width="9.5546875" style="14" bestFit="1" customWidth="1"/>
    <col min="13" max="13" width="5.88671875" style="14" bestFit="1" customWidth="1"/>
    <col min="14" max="14" width="16.44140625" style="14" bestFit="1" customWidth="1"/>
    <col min="15" max="15" width="5.5546875" style="14" bestFit="1" customWidth="1"/>
    <col min="16" max="16" width="4.109375" style="14" bestFit="1" customWidth="1"/>
    <col min="17" max="17" width="5.5546875" style="14" bestFit="1" customWidth="1"/>
    <col min="18" max="18" width="4.44140625" style="14" bestFit="1" customWidth="1"/>
    <col min="19" max="19" width="5.88671875" style="14" bestFit="1" customWidth="1"/>
    <col min="20" max="20" width="4.44140625" style="14" bestFit="1" customWidth="1"/>
    <col min="21" max="21" width="5.88671875" style="14" bestFit="1" customWidth="1"/>
    <col min="22" max="22" width="3.6640625" style="14" bestFit="1" customWidth="1"/>
    <col min="23" max="23" width="5.109375" style="14" bestFit="1" customWidth="1"/>
    <col min="24" max="24" width="3.88671875" style="14" bestFit="1" customWidth="1"/>
    <col min="25" max="25" width="5.33203125" style="14" bestFit="1" customWidth="1"/>
    <col min="26" max="26" width="7" style="16" bestFit="1" customWidth="1"/>
    <col min="27" max="27" width="17.33203125" style="14" bestFit="1" customWidth="1"/>
    <col min="28" max="28" width="5.6640625" style="14" bestFit="1" customWidth="1"/>
    <col min="29" max="29" width="11.5546875" style="14" bestFit="1" customWidth="1"/>
    <col min="30" max="30" width="5.44140625" style="14" bestFit="1" customWidth="1"/>
    <col min="31" max="31" width="19.109375" style="14" bestFit="1" customWidth="1"/>
    <col min="32" max="32" width="6.109375" style="14" bestFit="1" customWidth="1"/>
    <col min="33" max="33" width="10.109375" style="14" bestFit="1" customWidth="1"/>
    <col min="34" max="34" width="5.88671875" style="14" bestFit="1" customWidth="1"/>
    <col min="35" max="35" width="4.44140625" style="14" bestFit="1" customWidth="1"/>
    <col min="36" max="36" width="5.88671875" style="14" bestFit="1" customWidth="1"/>
    <col min="37" max="37" width="7" style="17" bestFit="1" customWidth="1"/>
    <col min="38" max="38" width="5.6640625" style="14" bestFit="1" customWidth="1"/>
    <col min="39" max="39" width="5.5546875" style="14" bestFit="1" customWidth="1"/>
    <col min="40" max="40" width="12.6640625" style="14" bestFit="1" customWidth="1"/>
    <col min="41" max="41" width="5.88671875" style="14" bestFit="1" customWidth="1"/>
    <col min="42" max="42" width="8.109375" style="14" bestFit="1" customWidth="1"/>
    <col min="43" max="43" width="5.6640625" style="14" bestFit="1" customWidth="1"/>
    <col min="44" max="44" width="11.109375" style="14" bestFit="1" customWidth="1"/>
    <col min="45" max="45" width="5.5546875" style="14" bestFit="1" customWidth="1"/>
    <col min="46" max="46" width="7" style="18" bestFit="1" customWidth="1"/>
    <col min="47" max="47" width="6.109375" style="14" bestFit="1" customWidth="1"/>
    <col min="48" max="48" width="9.44140625" style="14" bestFit="1" customWidth="1"/>
    <col min="49" max="16384" width="9.109375" style="14" hidden="1"/>
  </cols>
  <sheetData>
    <row r="1" spans="1:48" s="11" customFormat="1">
      <c r="A1" s="6" t="s">
        <v>116</v>
      </c>
      <c r="B1" s="7" t="s">
        <v>117</v>
      </c>
      <c r="C1" s="7" t="s">
        <v>42</v>
      </c>
      <c r="D1" s="7" t="s">
        <v>118</v>
      </c>
      <c r="E1" s="7" t="s">
        <v>119</v>
      </c>
      <c r="F1" s="7" t="s">
        <v>120</v>
      </c>
      <c r="G1" s="7" t="s">
        <v>121</v>
      </c>
      <c r="H1" s="7" t="s">
        <v>122</v>
      </c>
      <c r="I1" s="7" t="s">
        <v>123</v>
      </c>
      <c r="J1" s="7" t="s">
        <v>124</v>
      </c>
      <c r="K1" s="7" t="s">
        <v>125</v>
      </c>
      <c r="L1" s="7" t="s">
        <v>126</v>
      </c>
      <c r="M1" s="7" t="s">
        <v>127</v>
      </c>
      <c r="N1" s="7" t="s">
        <v>128</v>
      </c>
      <c r="O1" s="7" t="s">
        <v>129</v>
      </c>
      <c r="P1" s="7" t="s">
        <v>130</v>
      </c>
      <c r="Q1" s="7" t="s">
        <v>131</v>
      </c>
      <c r="R1" s="7" t="s">
        <v>132</v>
      </c>
      <c r="S1" s="7" t="s">
        <v>133</v>
      </c>
      <c r="T1" s="7" t="s">
        <v>134</v>
      </c>
      <c r="U1" s="7" t="s">
        <v>135</v>
      </c>
      <c r="V1" s="7" t="s">
        <v>136</v>
      </c>
      <c r="W1" s="7" t="s">
        <v>137</v>
      </c>
      <c r="X1" s="7" t="s">
        <v>138</v>
      </c>
      <c r="Y1" s="7" t="s">
        <v>139</v>
      </c>
      <c r="Z1" s="8" t="s">
        <v>140</v>
      </c>
      <c r="AA1" s="7" t="s">
        <v>141</v>
      </c>
      <c r="AB1" s="7" t="s">
        <v>142</v>
      </c>
      <c r="AC1" s="7" t="s">
        <v>143</v>
      </c>
      <c r="AD1" s="7" t="s">
        <v>144</v>
      </c>
      <c r="AE1" s="7" t="s">
        <v>145</v>
      </c>
      <c r="AF1" s="7" t="s">
        <v>146</v>
      </c>
      <c r="AG1" s="7" t="s">
        <v>147</v>
      </c>
      <c r="AH1" s="7" t="s">
        <v>148</v>
      </c>
      <c r="AI1" s="7" t="s">
        <v>149</v>
      </c>
      <c r="AJ1" s="7" t="s">
        <v>150</v>
      </c>
      <c r="AK1" s="9" t="s">
        <v>151</v>
      </c>
      <c r="AL1" s="7" t="s">
        <v>152</v>
      </c>
      <c r="AM1" s="7" t="s">
        <v>153</v>
      </c>
      <c r="AN1" s="7" t="s">
        <v>154</v>
      </c>
      <c r="AO1" s="7" t="s">
        <v>155</v>
      </c>
      <c r="AP1" s="7" t="s">
        <v>156</v>
      </c>
      <c r="AQ1" s="7" t="s">
        <v>157</v>
      </c>
      <c r="AR1" s="7" t="s">
        <v>158</v>
      </c>
      <c r="AS1" s="7" t="s">
        <v>159</v>
      </c>
      <c r="AT1" s="9" t="s">
        <v>160</v>
      </c>
      <c r="AU1" s="10" t="s">
        <v>161</v>
      </c>
      <c r="AV1" s="7" t="s">
        <v>162</v>
      </c>
    </row>
    <row r="2" spans="1:48">
      <c r="A2" s="12" t="s">
        <v>0</v>
      </c>
      <c r="B2" s="1">
        <v>1</v>
      </c>
      <c r="C2" s="1" t="s">
        <v>163</v>
      </c>
      <c r="D2" s="1" t="s">
        <v>164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4">
        <f>Table13[[#This Row],[KM]]+Table13[[#This Row],[LM]]+Table13[[#This Row],[MM]]+Table13[[#This Row],[NM]]+Table13[[#This Row],[OM]]</f>
        <v>0</v>
      </c>
      <c r="AL2" s="1" t="s">
        <v>51</v>
      </c>
      <c r="AM2" s="1">
        <v>5</v>
      </c>
      <c r="AN2" s="1" t="s">
        <v>52</v>
      </c>
      <c r="AO2" s="1">
        <v>5</v>
      </c>
      <c r="AP2" s="1" t="s">
        <v>53</v>
      </c>
      <c r="AQ2" s="1">
        <v>5</v>
      </c>
      <c r="AR2" s="1" t="s">
        <v>54</v>
      </c>
      <c r="AS2" s="1">
        <v>5</v>
      </c>
      <c r="AT2" s="4">
        <f>Table13[[#This Row],[PM]]+Table13[[#This Row],[QM]]+Table13[[#This Row],[RM]]+Table13[[#This Row],[SM]]</f>
        <v>20</v>
      </c>
      <c r="AU2" s="5">
        <f>Table13[[#This Row],[TOT1]]+Table13[[#This Row],[TOT2]]+Table13[[#This Row],[TOT3]]</f>
        <v>20</v>
      </c>
      <c r="AV2" s="13"/>
    </row>
    <row r="3" spans="1:48">
      <c r="A3" s="12" t="s">
        <v>0</v>
      </c>
      <c r="B3" s="1">
        <v>2</v>
      </c>
      <c r="C3" s="1" t="s">
        <v>165</v>
      </c>
      <c r="D3" s="1" t="s">
        <v>166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4">
        <f>Table13[[#This Row],[KM]]+Table13[[#This Row],[LM]]+Table13[[#This Row],[MM]]+Table13[[#This Row],[NM]]+Table13[[#This Row],[OM]]</f>
        <v>0</v>
      </c>
      <c r="AL3" s="1" t="s">
        <v>51</v>
      </c>
      <c r="AM3" s="1">
        <v>5</v>
      </c>
      <c r="AN3" s="1" t="s">
        <v>52</v>
      </c>
      <c r="AO3" s="1">
        <v>5</v>
      </c>
      <c r="AP3" s="1" t="s">
        <v>53</v>
      </c>
      <c r="AQ3" s="1">
        <v>5</v>
      </c>
      <c r="AR3" s="1" t="s">
        <v>54</v>
      </c>
      <c r="AS3" s="1">
        <v>5</v>
      </c>
      <c r="AT3" s="4">
        <f>Table13[[#This Row],[PM]]+Table13[[#This Row],[QM]]+Table13[[#This Row],[RM]]+Table13[[#This Row],[SM]]</f>
        <v>20</v>
      </c>
      <c r="AU3" s="5">
        <f>Table13[[#This Row],[TOT1]]+Table13[[#This Row],[TOT2]]+Table13[[#This Row],[TOT3]]</f>
        <v>20</v>
      </c>
      <c r="AV3" s="1"/>
    </row>
    <row r="4" spans="1:48">
      <c r="A4" s="12" t="s">
        <v>0</v>
      </c>
      <c r="B4" s="1">
        <v>3</v>
      </c>
      <c r="C4" s="1" t="s">
        <v>167</v>
      </c>
      <c r="D4" s="1" t="s">
        <v>168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4">
        <f>Table13[[#This Row],[KM]]+Table13[[#This Row],[LM]]+Table13[[#This Row],[MM]]+Table13[[#This Row],[NM]]+Table13[[#This Row],[OM]]</f>
        <v>0</v>
      </c>
      <c r="AL4" s="1" t="s">
        <v>51</v>
      </c>
      <c r="AM4" s="1">
        <v>5</v>
      </c>
      <c r="AN4" s="1" t="s">
        <v>52</v>
      </c>
      <c r="AO4" s="1">
        <v>5</v>
      </c>
      <c r="AP4" s="1" t="s">
        <v>53</v>
      </c>
      <c r="AQ4" s="1">
        <v>5</v>
      </c>
      <c r="AR4" s="1" t="s">
        <v>54</v>
      </c>
      <c r="AS4" s="1">
        <v>5</v>
      </c>
      <c r="AT4" s="4">
        <f>Table13[[#This Row],[PM]]+Table13[[#This Row],[QM]]+Table13[[#This Row],[RM]]+Table13[[#This Row],[SM]]</f>
        <v>20</v>
      </c>
      <c r="AU4" s="5">
        <f>Table13[[#This Row],[TOT1]]+Table13[[#This Row],[TOT2]]+Table13[[#This Row],[TOT3]]</f>
        <v>20</v>
      </c>
      <c r="AV4" s="1"/>
    </row>
    <row r="5" spans="1:48">
      <c r="A5" s="12" t="s">
        <v>0</v>
      </c>
      <c r="B5" s="1">
        <v>4</v>
      </c>
      <c r="C5" s="1" t="s">
        <v>169</v>
      </c>
      <c r="D5" s="1" t="s">
        <v>170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4">
        <f>Table13[[#This Row],[KM]]+Table13[[#This Row],[LM]]+Table13[[#This Row],[MM]]+Table13[[#This Row],[NM]]+Table13[[#This Row],[OM]]</f>
        <v>0</v>
      </c>
      <c r="AL5" s="1" t="s">
        <v>51</v>
      </c>
      <c r="AM5" s="1">
        <v>5</v>
      </c>
      <c r="AN5" s="1" t="s">
        <v>52</v>
      </c>
      <c r="AO5" s="1">
        <v>5</v>
      </c>
      <c r="AP5" s="1" t="s">
        <v>53</v>
      </c>
      <c r="AQ5" s="1">
        <v>5</v>
      </c>
      <c r="AR5" s="1" t="s">
        <v>54</v>
      </c>
      <c r="AS5" s="1">
        <v>5</v>
      </c>
      <c r="AT5" s="4">
        <f>Table13[[#This Row],[PM]]+Table13[[#This Row],[QM]]+Table13[[#This Row],[RM]]+Table13[[#This Row],[SM]]</f>
        <v>20</v>
      </c>
      <c r="AU5" s="5">
        <f>Table13[[#This Row],[TOT1]]+Table13[[#This Row],[TOT2]]+Table13[[#This Row],[TOT3]]</f>
        <v>20</v>
      </c>
      <c r="AV5" s="1"/>
    </row>
    <row r="6" spans="1:48">
      <c r="A6" s="12" t="s">
        <v>0</v>
      </c>
      <c r="B6" s="1">
        <v>5</v>
      </c>
      <c r="C6" s="1" t="s">
        <v>171</v>
      </c>
      <c r="D6" s="1" t="s">
        <v>172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4">
        <f>Table13[[#This Row],[KM]]+Table13[[#This Row],[LM]]+Table13[[#This Row],[MM]]+Table13[[#This Row],[NM]]+Table13[[#This Row],[OM]]</f>
        <v>0</v>
      </c>
      <c r="AL6" s="1" t="s">
        <v>51</v>
      </c>
      <c r="AM6" s="1">
        <v>5</v>
      </c>
      <c r="AN6" s="1" t="s">
        <v>52</v>
      </c>
      <c r="AO6" s="1">
        <v>5</v>
      </c>
      <c r="AP6" s="1" t="s">
        <v>53</v>
      </c>
      <c r="AQ6" s="1">
        <v>5</v>
      </c>
      <c r="AR6" s="1" t="s">
        <v>54</v>
      </c>
      <c r="AS6" s="1">
        <v>5</v>
      </c>
      <c r="AT6" s="4">
        <f>Table13[[#This Row],[PM]]+Table13[[#This Row],[QM]]+Table13[[#This Row],[RM]]+Table13[[#This Row],[SM]]</f>
        <v>20</v>
      </c>
      <c r="AU6" s="5">
        <f>Table13[[#This Row],[TOT1]]+Table13[[#This Row],[TOT2]]+Table13[[#This Row],[TOT3]]</f>
        <v>20</v>
      </c>
      <c r="AV6" s="1"/>
    </row>
    <row r="7" spans="1:48">
      <c r="A7" s="12" t="s">
        <v>0</v>
      </c>
      <c r="B7" s="1">
        <v>6</v>
      </c>
      <c r="C7" s="1" t="s">
        <v>173</v>
      </c>
      <c r="D7" s="1" t="s">
        <v>174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4">
        <f>Table13[[#This Row],[KM]]+Table13[[#This Row],[LM]]+Table13[[#This Row],[MM]]+Table13[[#This Row],[NM]]+Table13[[#This Row],[OM]]</f>
        <v>0</v>
      </c>
      <c r="AL7" s="1" t="s">
        <v>51</v>
      </c>
      <c r="AM7" s="1">
        <v>5</v>
      </c>
      <c r="AN7" s="1" t="s">
        <v>52</v>
      </c>
      <c r="AO7" s="1">
        <v>5</v>
      </c>
      <c r="AP7" s="1" t="s">
        <v>53</v>
      </c>
      <c r="AQ7" s="1">
        <v>5</v>
      </c>
      <c r="AR7" s="1" t="s">
        <v>54</v>
      </c>
      <c r="AS7" s="1">
        <v>5</v>
      </c>
      <c r="AT7" s="4">
        <f>Table13[[#This Row],[PM]]+Table13[[#This Row],[QM]]+Table13[[#This Row],[RM]]+Table13[[#This Row],[SM]]</f>
        <v>20</v>
      </c>
      <c r="AU7" s="5">
        <f>Table13[[#This Row],[TOT1]]+Table13[[#This Row],[TOT2]]+Table13[[#This Row],[TOT3]]</f>
        <v>20</v>
      </c>
      <c r="AV7" s="1"/>
    </row>
    <row r="8" spans="1:48">
      <c r="A8" s="12" t="s">
        <v>0</v>
      </c>
      <c r="B8" s="1">
        <v>7</v>
      </c>
      <c r="C8" s="1" t="s">
        <v>175</v>
      </c>
      <c r="D8" s="1" t="s">
        <v>176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4">
        <f>Table13[[#This Row],[KM]]+Table13[[#This Row],[LM]]+Table13[[#This Row],[MM]]+Table13[[#This Row],[NM]]+Table13[[#This Row],[OM]]</f>
        <v>0</v>
      </c>
      <c r="AL8" s="1" t="s">
        <v>51</v>
      </c>
      <c r="AM8" s="1">
        <v>5</v>
      </c>
      <c r="AN8" s="1" t="s">
        <v>52</v>
      </c>
      <c r="AO8" s="1">
        <v>5</v>
      </c>
      <c r="AP8" s="1" t="s">
        <v>53</v>
      </c>
      <c r="AQ8" s="1">
        <v>5</v>
      </c>
      <c r="AR8" s="1" t="s">
        <v>54</v>
      </c>
      <c r="AS8" s="1">
        <v>5</v>
      </c>
      <c r="AT8" s="4">
        <f>Table13[[#This Row],[PM]]+Table13[[#This Row],[QM]]+Table13[[#This Row],[RM]]+Table13[[#This Row],[SM]]</f>
        <v>20</v>
      </c>
      <c r="AU8" s="5">
        <f>Table13[[#This Row],[TOT1]]+Table13[[#This Row],[TOT2]]+Table13[[#This Row],[TOT3]]</f>
        <v>20</v>
      </c>
      <c r="AV8" s="1"/>
    </row>
    <row r="9" spans="1:48">
      <c r="A9" s="12" t="s">
        <v>0</v>
      </c>
      <c r="B9" s="1">
        <v>8</v>
      </c>
      <c r="C9" s="1" t="s">
        <v>177</v>
      </c>
      <c r="D9" s="1" t="s">
        <v>178</v>
      </c>
      <c r="E9" s="1">
        <v>0.5</v>
      </c>
      <c r="F9" s="1">
        <v>75</v>
      </c>
      <c r="G9" s="1">
        <v>20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20</v>
      </c>
      <c r="AA9" s="1" t="s">
        <v>43</v>
      </c>
      <c r="AB9" s="1">
        <v>10</v>
      </c>
      <c r="AC9" s="1" t="s">
        <v>179</v>
      </c>
      <c r="AD9" s="1">
        <v>20</v>
      </c>
      <c r="AE9" s="1" t="s">
        <v>44</v>
      </c>
      <c r="AF9" s="1">
        <v>20</v>
      </c>
      <c r="AG9" s="1" t="s">
        <v>72</v>
      </c>
      <c r="AH9" s="1">
        <v>10</v>
      </c>
      <c r="AI9" s="1"/>
      <c r="AJ9" s="1"/>
      <c r="AK9" s="4">
        <f>Table13[[#This Row],[KM]]+Table13[[#This Row],[LM]]+Table13[[#This Row],[MM]]+Table13[[#This Row],[NM]]+Table13[[#This Row],[OM]]</f>
        <v>60</v>
      </c>
      <c r="AL9" s="1" t="s">
        <v>51</v>
      </c>
      <c r="AM9" s="1">
        <v>5</v>
      </c>
      <c r="AN9" s="1" t="s">
        <v>52</v>
      </c>
      <c r="AO9" s="1">
        <v>5</v>
      </c>
      <c r="AP9" s="1" t="s">
        <v>53</v>
      </c>
      <c r="AQ9" s="1">
        <v>5</v>
      </c>
      <c r="AR9" s="1" t="s">
        <v>54</v>
      </c>
      <c r="AS9" s="1">
        <v>5</v>
      </c>
      <c r="AT9" s="4">
        <f>Table13[[#This Row],[PM]]+Table13[[#This Row],[QM]]+Table13[[#This Row],[RM]]+Table13[[#This Row],[SM]]</f>
        <v>20</v>
      </c>
      <c r="AU9" s="5">
        <f>Table13[[#This Row],[TOT1]]+Table13[[#This Row],[TOT2]]+Table13[[#This Row],[TOT3]]</f>
        <v>100</v>
      </c>
      <c r="AV9" s="1"/>
    </row>
    <row r="10" spans="1:48">
      <c r="A10" s="12" t="s">
        <v>0</v>
      </c>
      <c r="B10" s="1">
        <v>9</v>
      </c>
      <c r="C10" s="1" t="s">
        <v>180</v>
      </c>
      <c r="D10" s="1" t="s">
        <v>181</v>
      </c>
      <c r="E10" s="1">
        <v>0.5</v>
      </c>
      <c r="F10" s="1">
        <v>9</v>
      </c>
      <c r="G10" s="1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30</v>
      </c>
      <c r="AA10" s="1" t="s">
        <v>180</v>
      </c>
      <c r="AB10" s="1">
        <v>30</v>
      </c>
      <c r="AC10" s="1" t="s">
        <v>182</v>
      </c>
      <c r="AD10" s="1">
        <v>20</v>
      </c>
      <c r="AE10" s="1"/>
      <c r="AF10" s="1"/>
      <c r="AG10" s="1"/>
      <c r="AH10" s="1"/>
      <c r="AI10" s="1"/>
      <c r="AJ10" s="1"/>
      <c r="AK10" s="4">
        <f>Table13[[#This Row],[KM]]+Table13[[#This Row],[LM]]+Table13[[#This Row],[MM]]+Table13[[#This Row],[NM]]+Table13[[#This Row],[OM]]</f>
        <v>50</v>
      </c>
      <c r="AL10" s="1" t="s">
        <v>51</v>
      </c>
      <c r="AM10" s="1">
        <v>5</v>
      </c>
      <c r="AN10" s="1" t="s">
        <v>52</v>
      </c>
      <c r="AO10" s="1">
        <v>5</v>
      </c>
      <c r="AP10" s="1" t="s">
        <v>53</v>
      </c>
      <c r="AQ10" s="1">
        <v>5</v>
      </c>
      <c r="AR10" s="1" t="s">
        <v>54</v>
      </c>
      <c r="AS10" s="1">
        <v>5</v>
      </c>
      <c r="AT10" s="4">
        <f>Table13[[#This Row],[PM]]+Table13[[#This Row],[QM]]+Table13[[#This Row],[RM]]+Table13[[#This Row],[SM]]</f>
        <v>20</v>
      </c>
      <c r="AU10" s="5">
        <f>Table13[[#This Row],[TOT1]]+Table13[[#This Row],[TOT2]]+Table13[[#This Row],[TOT3]]</f>
        <v>100</v>
      </c>
      <c r="AV10" s="1"/>
    </row>
    <row r="11" spans="1:48">
      <c r="A11" s="12" t="s">
        <v>0</v>
      </c>
      <c r="B11" s="1">
        <v>10</v>
      </c>
      <c r="C11" s="1" t="s">
        <v>183</v>
      </c>
      <c r="D11" s="1" t="s">
        <v>184</v>
      </c>
      <c r="E11" s="1">
        <v>0.5</v>
      </c>
      <c r="F11" s="1">
        <v>74</v>
      </c>
      <c r="G11" s="1">
        <v>20</v>
      </c>
      <c r="H11" s="1">
        <v>74</v>
      </c>
      <c r="I11" s="1">
        <v>20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40</v>
      </c>
      <c r="AA11" s="1" t="s">
        <v>183</v>
      </c>
      <c r="AB11" s="1">
        <v>20</v>
      </c>
      <c r="AC11" s="1" t="s">
        <v>72</v>
      </c>
      <c r="AD11" s="1">
        <v>10</v>
      </c>
      <c r="AE11" s="1" t="s">
        <v>46</v>
      </c>
      <c r="AF11" s="1">
        <v>10</v>
      </c>
      <c r="AG11" s="1"/>
      <c r="AH11" s="1"/>
      <c r="AI11" s="1"/>
      <c r="AJ11" s="1"/>
      <c r="AK11" s="4">
        <f>Table13[[#This Row],[KM]]+Table13[[#This Row],[LM]]+Table13[[#This Row],[MM]]+Table13[[#This Row],[NM]]+Table13[[#This Row],[OM]]</f>
        <v>40</v>
      </c>
      <c r="AL11" s="1" t="s">
        <v>51</v>
      </c>
      <c r="AM11" s="1">
        <v>5</v>
      </c>
      <c r="AN11" s="1" t="s">
        <v>52</v>
      </c>
      <c r="AO11" s="1">
        <v>5</v>
      </c>
      <c r="AP11" s="1" t="s">
        <v>53</v>
      </c>
      <c r="AQ11" s="1">
        <v>5</v>
      </c>
      <c r="AR11" s="1" t="s">
        <v>54</v>
      </c>
      <c r="AS11" s="1">
        <v>5</v>
      </c>
      <c r="AT11" s="4">
        <f>Table13[[#This Row],[PM]]+Table13[[#This Row],[QM]]+Table13[[#This Row],[RM]]+Table13[[#This Row],[SM]]</f>
        <v>20</v>
      </c>
      <c r="AU11" s="5">
        <f>Table13[[#This Row],[TOT1]]+Table13[[#This Row],[TOT2]]+Table13[[#This Row],[TOT3]]</f>
        <v>100</v>
      </c>
      <c r="AV11" s="1"/>
    </row>
    <row r="12" spans="1:48">
      <c r="A12" s="12" t="s">
        <v>0</v>
      </c>
      <c r="B12" s="1">
        <v>11</v>
      </c>
      <c r="C12" s="1" t="s">
        <v>185</v>
      </c>
      <c r="D12" s="1" t="s">
        <v>186</v>
      </c>
      <c r="E12" s="1">
        <v>0.5</v>
      </c>
      <c r="F12" s="1" t="s">
        <v>187</v>
      </c>
      <c r="G12" s="1">
        <v>10</v>
      </c>
      <c r="H12" s="1" t="s">
        <v>188</v>
      </c>
      <c r="I12" s="1">
        <v>10</v>
      </c>
      <c r="J12" s="1" t="s">
        <v>189</v>
      </c>
      <c r="K12" s="1">
        <v>10</v>
      </c>
      <c r="L12" s="1" t="s">
        <v>190</v>
      </c>
      <c r="M12" s="1">
        <v>10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40</v>
      </c>
      <c r="AA12" s="1" t="s">
        <v>191</v>
      </c>
      <c r="AB12" s="1">
        <v>20</v>
      </c>
      <c r="AC12" s="1" t="s">
        <v>43</v>
      </c>
      <c r="AD12" s="1">
        <v>20</v>
      </c>
      <c r="AE12" s="1"/>
      <c r="AF12" s="1"/>
      <c r="AG12" s="1"/>
      <c r="AH12" s="1"/>
      <c r="AI12" s="1"/>
      <c r="AJ12" s="1"/>
      <c r="AK12" s="4">
        <f>Table13[[#This Row],[KM]]+Table13[[#This Row],[LM]]+Table13[[#This Row],[MM]]+Table13[[#This Row],[NM]]+Table13[[#This Row],[OM]]</f>
        <v>40</v>
      </c>
      <c r="AL12" s="1" t="s">
        <v>51</v>
      </c>
      <c r="AM12" s="1">
        <v>5</v>
      </c>
      <c r="AN12" s="1" t="s">
        <v>52</v>
      </c>
      <c r="AO12" s="1">
        <v>5</v>
      </c>
      <c r="AP12" s="1" t="s">
        <v>53</v>
      </c>
      <c r="AQ12" s="1">
        <v>5</v>
      </c>
      <c r="AR12" s="1" t="s">
        <v>54</v>
      </c>
      <c r="AS12" s="1">
        <v>5</v>
      </c>
      <c r="AT12" s="4">
        <f>Table13[[#This Row],[PM]]+Table13[[#This Row],[QM]]+Table13[[#This Row],[RM]]+Table13[[#This Row],[SM]]</f>
        <v>20</v>
      </c>
      <c r="AU12" s="5">
        <f>Table13[[#This Row],[TOT1]]+Table13[[#This Row],[TOT2]]+Table13[[#This Row],[TOT3]]</f>
        <v>100</v>
      </c>
      <c r="AV12" s="1"/>
    </row>
    <row r="13" spans="1:48">
      <c r="A13" s="12" t="s">
        <v>0</v>
      </c>
      <c r="B13" s="1">
        <v>12</v>
      </c>
      <c r="C13" s="1" t="s">
        <v>192</v>
      </c>
      <c r="D13" s="1" t="s">
        <v>193</v>
      </c>
      <c r="E13" s="1">
        <v>0.5</v>
      </c>
      <c r="F13" s="1" t="s">
        <v>194</v>
      </c>
      <c r="G13" s="1">
        <v>10</v>
      </c>
      <c r="H13" s="1">
        <v>12</v>
      </c>
      <c r="I13" s="1">
        <v>10</v>
      </c>
      <c r="J13" s="1">
        <v>46</v>
      </c>
      <c r="K13" s="1">
        <v>10</v>
      </c>
      <c r="L13" s="1">
        <v>42</v>
      </c>
      <c r="M13" s="1">
        <v>10</v>
      </c>
      <c r="N13" s="1">
        <v>8</v>
      </c>
      <c r="O13" s="1">
        <v>10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13" s="1" t="s">
        <v>183</v>
      </c>
      <c r="AB13" s="1">
        <v>10</v>
      </c>
      <c r="AC13" s="1" t="s">
        <v>195</v>
      </c>
      <c r="AD13" s="1">
        <v>20</v>
      </c>
      <c r="AE13" s="1"/>
      <c r="AF13" s="1"/>
      <c r="AG13" s="1"/>
      <c r="AH13" s="1"/>
      <c r="AI13" s="1"/>
      <c r="AJ13" s="1"/>
      <c r="AK13" s="4">
        <f>Table13[[#This Row],[KM]]+Table13[[#This Row],[LM]]+Table13[[#This Row],[MM]]+Table13[[#This Row],[NM]]+Table13[[#This Row],[OM]]</f>
        <v>30</v>
      </c>
      <c r="AL13" s="1" t="s">
        <v>51</v>
      </c>
      <c r="AM13" s="1">
        <v>5</v>
      </c>
      <c r="AN13" s="1" t="s">
        <v>52</v>
      </c>
      <c r="AO13" s="1">
        <v>5</v>
      </c>
      <c r="AP13" s="1" t="s">
        <v>53</v>
      </c>
      <c r="AQ13" s="1">
        <v>5</v>
      </c>
      <c r="AR13" s="1" t="s">
        <v>54</v>
      </c>
      <c r="AS13" s="1">
        <v>5</v>
      </c>
      <c r="AT13" s="4">
        <f>Table13[[#This Row],[PM]]+Table13[[#This Row],[QM]]+Table13[[#This Row],[RM]]+Table13[[#This Row],[SM]]</f>
        <v>20</v>
      </c>
      <c r="AU13" s="5">
        <f>Table13[[#This Row],[TOT1]]+Table13[[#This Row],[TOT2]]+Table13[[#This Row],[TOT3]]</f>
        <v>100</v>
      </c>
      <c r="AV13" s="1"/>
    </row>
    <row r="14" spans="1:48">
      <c r="A14" s="12" t="s">
        <v>0</v>
      </c>
      <c r="B14" s="1">
        <v>13</v>
      </c>
      <c r="C14" s="1" t="s">
        <v>196</v>
      </c>
      <c r="D14" s="1" t="s">
        <v>197</v>
      </c>
      <c r="E14" s="1">
        <v>0.5</v>
      </c>
      <c r="F14" s="1">
        <v>72</v>
      </c>
      <c r="G14" s="1">
        <v>10</v>
      </c>
      <c r="H14" s="1">
        <v>72</v>
      </c>
      <c r="I14" s="1">
        <v>10</v>
      </c>
      <c r="J14" s="1" t="s">
        <v>198</v>
      </c>
      <c r="K14" s="1">
        <v>10</v>
      </c>
      <c r="L14" s="1" t="s">
        <v>199</v>
      </c>
      <c r="M14" s="1">
        <v>10</v>
      </c>
      <c r="N14" s="1" t="s">
        <v>200</v>
      </c>
      <c r="O14" s="1">
        <v>10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14" s="1" t="s">
        <v>183</v>
      </c>
      <c r="AB14" s="1">
        <v>10</v>
      </c>
      <c r="AC14" s="1" t="s">
        <v>43</v>
      </c>
      <c r="AD14" s="1">
        <v>20</v>
      </c>
      <c r="AE14" s="1"/>
      <c r="AF14" s="1"/>
      <c r="AG14" s="1"/>
      <c r="AH14" s="1"/>
      <c r="AI14" s="1"/>
      <c r="AJ14" s="1"/>
      <c r="AK14" s="4">
        <f>Table13[[#This Row],[KM]]+Table13[[#This Row],[LM]]+Table13[[#This Row],[MM]]+Table13[[#This Row],[NM]]+Table13[[#This Row],[OM]]</f>
        <v>30</v>
      </c>
      <c r="AL14" s="1" t="s">
        <v>51</v>
      </c>
      <c r="AM14" s="1">
        <v>5</v>
      </c>
      <c r="AN14" s="1" t="s">
        <v>52</v>
      </c>
      <c r="AO14" s="1">
        <v>5</v>
      </c>
      <c r="AP14" s="1" t="s">
        <v>53</v>
      </c>
      <c r="AQ14" s="1">
        <v>5</v>
      </c>
      <c r="AR14" s="1" t="s">
        <v>54</v>
      </c>
      <c r="AS14" s="1">
        <v>5</v>
      </c>
      <c r="AT14" s="4">
        <f>Table13[[#This Row],[PM]]+Table13[[#This Row],[QM]]+Table13[[#This Row],[RM]]+Table13[[#This Row],[SM]]</f>
        <v>20</v>
      </c>
      <c r="AU14" s="5">
        <f>Table13[[#This Row],[TOT1]]+Table13[[#This Row],[TOT2]]+Table13[[#This Row],[TOT3]]</f>
        <v>100</v>
      </c>
      <c r="AV14" s="1"/>
    </row>
    <row r="15" spans="1:48">
      <c r="A15" s="12"/>
      <c r="B15" s="1">
        <v>14</v>
      </c>
      <c r="C15" s="1" t="s">
        <v>201</v>
      </c>
      <c r="D15" s="1" t="s">
        <v>202</v>
      </c>
      <c r="E15" s="1">
        <v>0.5</v>
      </c>
      <c r="F15" s="1" t="s">
        <v>203</v>
      </c>
      <c r="G15" s="1">
        <v>10</v>
      </c>
      <c r="H15" s="1" t="s">
        <v>204</v>
      </c>
      <c r="I15" s="1">
        <v>10</v>
      </c>
      <c r="J15" s="1" t="s">
        <v>205</v>
      </c>
      <c r="K15" s="1">
        <v>10</v>
      </c>
      <c r="L15" s="1" t="s">
        <v>198</v>
      </c>
      <c r="M15" s="1">
        <v>10</v>
      </c>
      <c r="N15" s="1" t="s">
        <v>206</v>
      </c>
      <c r="O15" s="1">
        <v>10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15" s="1" t="s">
        <v>183</v>
      </c>
      <c r="AB15" s="1">
        <v>10</v>
      </c>
      <c r="AC15" s="1" t="s">
        <v>43</v>
      </c>
      <c r="AD15" s="1">
        <v>20</v>
      </c>
      <c r="AE15" s="1"/>
      <c r="AF15" s="1"/>
      <c r="AG15" s="1"/>
      <c r="AH15" s="1"/>
      <c r="AI15" s="1"/>
      <c r="AJ15" s="1"/>
      <c r="AK15" s="4">
        <f>Table13[[#This Row],[KM]]+Table13[[#This Row],[LM]]+Table13[[#This Row],[MM]]+Table13[[#This Row],[NM]]+Table13[[#This Row],[OM]]</f>
        <v>30</v>
      </c>
      <c r="AL15" s="1" t="s">
        <v>51</v>
      </c>
      <c r="AM15" s="1">
        <v>5</v>
      </c>
      <c r="AN15" s="1" t="s">
        <v>52</v>
      </c>
      <c r="AO15" s="1">
        <v>5</v>
      </c>
      <c r="AP15" s="1" t="s">
        <v>53</v>
      </c>
      <c r="AQ15" s="1">
        <v>5</v>
      </c>
      <c r="AR15" s="1" t="s">
        <v>54</v>
      </c>
      <c r="AS15" s="1">
        <v>5</v>
      </c>
      <c r="AT15" s="4">
        <f>Table13[[#This Row],[PM]]+Table13[[#This Row],[QM]]+Table13[[#This Row],[RM]]+Table13[[#This Row],[SM]]</f>
        <v>20</v>
      </c>
      <c r="AU15" s="5">
        <f>Table13[[#This Row],[TOT1]]+Table13[[#This Row],[TOT2]]+Table13[[#This Row],[TOT3]]</f>
        <v>100</v>
      </c>
      <c r="AV15" s="1"/>
    </row>
    <row r="16" spans="1:48">
      <c r="A16" s="12"/>
      <c r="B16" s="1">
        <v>15</v>
      </c>
      <c r="C16" s="1" t="s">
        <v>277</v>
      </c>
      <c r="D16" s="1" t="s">
        <v>207</v>
      </c>
      <c r="E16" s="1">
        <v>0.5</v>
      </c>
      <c r="F16" s="1" t="s">
        <v>198</v>
      </c>
      <c r="G16" s="1">
        <v>10</v>
      </c>
      <c r="H16" s="1" t="s">
        <v>205</v>
      </c>
      <c r="I16" s="1">
        <v>10</v>
      </c>
      <c r="J16" s="1" t="s">
        <v>278</v>
      </c>
      <c r="K16" s="1">
        <v>10</v>
      </c>
      <c r="L16" s="1" t="s">
        <v>279</v>
      </c>
      <c r="M16" s="1">
        <v>10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40</v>
      </c>
      <c r="AA16" s="1" t="s">
        <v>191</v>
      </c>
      <c r="AB16" s="1">
        <v>20</v>
      </c>
      <c r="AC16" s="1" t="s">
        <v>43</v>
      </c>
      <c r="AD16" s="1">
        <v>20</v>
      </c>
      <c r="AE16" s="1"/>
      <c r="AF16" s="1"/>
      <c r="AG16" s="1"/>
      <c r="AH16" s="1"/>
      <c r="AI16" s="1"/>
      <c r="AJ16" s="1"/>
      <c r="AK16" s="4">
        <f>Table13[[#This Row],[KM]]+Table13[[#This Row],[LM]]+Table13[[#This Row],[MM]]+Table13[[#This Row],[NM]]+Table13[[#This Row],[OM]]</f>
        <v>40</v>
      </c>
      <c r="AL16" s="1" t="s">
        <v>51</v>
      </c>
      <c r="AM16" s="1">
        <v>5</v>
      </c>
      <c r="AN16" s="1" t="s">
        <v>52</v>
      </c>
      <c r="AO16" s="1">
        <v>5</v>
      </c>
      <c r="AP16" s="1" t="s">
        <v>53</v>
      </c>
      <c r="AQ16" s="1">
        <v>5</v>
      </c>
      <c r="AR16" s="1" t="s">
        <v>54</v>
      </c>
      <c r="AS16" s="1">
        <v>5</v>
      </c>
      <c r="AT16" s="4">
        <f>Table13[[#This Row],[PM]]+Table13[[#This Row],[QM]]+Table13[[#This Row],[RM]]+Table13[[#This Row],[SM]]</f>
        <v>20</v>
      </c>
      <c r="AU16" s="5">
        <f>Table13[[#This Row],[TOT1]]+Table13[[#This Row],[TOT2]]+Table13[[#This Row],[TOT3]]</f>
        <v>100</v>
      </c>
      <c r="AV16" s="1"/>
    </row>
    <row r="17" spans="1:48">
      <c r="A17" s="12"/>
      <c r="B17" s="1">
        <v>16</v>
      </c>
      <c r="C17" s="1" t="s">
        <v>280</v>
      </c>
      <c r="D17" s="1" t="s">
        <v>208</v>
      </c>
      <c r="E17" s="1">
        <v>0.5</v>
      </c>
      <c r="F17" s="1">
        <v>45</v>
      </c>
      <c r="G17" s="1">
        <v>10</v>
      </c>
      <c r="H17" s="1">
        <v>45</v>
      </c>
      <c r="I17" s="1">
        <v>10</v>
      </c>
      <c r="J17" s="1" t="s">
        <v>281</v>
      </c>
      <c r="K17" s="1">
        <v>10</v>
      </c>
      <c r="L17" s="1" t="s">
        <v>198</v>
      </c>
      <c r="M17" s="1">
        <v>10</v>
      </c>
      <c r="N17" s="1" t="s">
        <v>282</v>
      </c>
      <c r="O17" s="1">
        <v>10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17" s="1" t="s">
        <v>283</v>
      </c>
      <c r="AB17" s="1">
        <v>15</v>
      </c>
      <c r="AC17" s="1" t="s">
        <v>43</v>
      </c>
      <c r="AD17" s="1">
        <v>15</v>
      </c>
      <c r="AE17" s="1"/>
      <c r="AF17" s="1"/>
      <c r="AG17" s="1"/>
      <c r="AH17" s="1"/>
      <c r="AI17" s="1"/>
      <c r="AJ17" s="1"/>
      <c r="AK17" s="4">
        <f>Table13[[#This Row],[KM]]+Table13[[#This Row],[LM]]+Table13[[#This Row],[MM]]+Table13[[#This Row],[NM]]+Table13[[#This Row],[OM]]</f>
        <v>30</v>
      </c>
      <c r="AL17" s="1" t="s">
        <v>51</v>
      </c>
      <c r="AM17" s="1">
        <v>5</v>
      </c>
      <c r="AN17" s="1" t="s">
        <v>52</v>
      </c>
      <c r="AO17" s="1">
        <v>5</v>
      </c>
      <c r="AP17" s="1" t="s">
        <v>53</v>
      </c>
      <c r="AQ17" s="1">
        <v>5</v>
      </c>
      <c r="AR17" s="1" t="s">
        <v>54</v>
      </c>
      <c r="AS17" s="1">
        <v>5</v>
      </c>
      <c r="AT17" s="4">
        <f>Table13[[#This Row],[PM]]+Table13[[#This Row],[QM]]+Table13[[#This Row],[RM]]+Table13[[#This Row],[SM]]</f>
        <v>20</v>
      </c>
      <c r="AU17" s="5">
        <f>Table13[[#This Row],[TOT1]]+Table13[[#This Row],[TOT2]]+Table13[[#This Row],[TOT3]]</f>
        <v>100</v>
      </c>
      <c r="AV17" s="1"/>
    </row>
    <row r="18" spans="1:48">
      <c r="A18" s="12"/>
      <c r="B18" s="1">
        <v>17</v>
      </c>
      <c r="C18" s="1" t="s">
        <v>284</v>
      </c>
      <c r="D18" s="1" t="s">
        <v>209</v>
      </c>
      <c r="E18" s="1">
        <v>0.5</v>
      </c>
      <c r="F18" s="1">
        <v>20</v>
      </c>
      <c r="G18" s="1">
        <v>10</v>
      </c>
      <c r="H18" s="1">
        <v>25</v>
      </c>
      <c r="I18" s="1">
        <v>10</v>
      </c>
      <c r="J18" s="1">
        <v>30</v>
      </c>
      <c r="K18" s="1">
        <v>10</v>
      </c>
      <c r="L18" s="1">
        <v>35</v>
      </c>
      <c r="M18" s="1">
        <v>10</v>
      </c>
      <c r="N18" s="1" t="s">
        <v>203</v>
      </c>
      <c r="O18" s="1">
        <v>10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18" s="1" t="s">
        <v>43</v>
      </c>
      <c r="AB18" s="1">
        <v>10</v>
      </c>
      <c r="AC18" s="1" t="s">
        <v>179</v>
      </c>
      <c r="AD18" s="1">
        <v>10</v>
      </c>
      <c r="AE18" s="1" t="s">
        <v>44</v>
      </c>
      <c r="AF18" s="1">
        <v>10</v>
      </c>
      <c r="AG18" s="1"/>
      <c r="AH18" s="1"/>
      <c r="AI18" s="1"/>
      <c r="AJ18" s="1"/>
      <c r="AK18" s="4">
        <f>Table13[[#This Row],[KM]]+Table13[[#This Row],[LM]]+Table13[[#This Row],[MM]]+Table13[[#This Row],[NM]]+Table13[[#This Row],[OM]]</f>
        <v>30</v>
      </c>
      <c r="AL18" s="1" t="s">
        <v>51</v>
      </c>
      <c r="AM18" s="1">
        <v>5</v>
      </c>
      <c r="AN18" s="1" t="s">
        <v>52</v>
      </c>
      <c r="AO18" s="1">
        <v>5</v>
      </c>
      <c r="AP18" s="1" t="s">
        <v>53</v>
      </c>
      <c r="AQ18" s="1">
        <v>5</v>
      </c>
      <c r="AR18" s="1" t="s">
        <v>54</v>
      </c>
      <c r="AS18" s="1">
        <v>5</v>
      </c>
      <c r="AT18" s="4">
        <f>Table13[[#This Row],[PM]]+Table13[[#This Row],[QM]]+Table13[[#This Row],[RM]]+Table13[[#This Row],[SM]]</f>
        <v>20</v>
      </c>
      <c r="AU18" s="5">
        <f>Table13[[#This Row],[TOT1]]+Table13[[#This Row],[TOT2]]+Table13[[#This Row],[TOT3]]</f>
        <v>100</v>
      </c>
      <c r="AV18" s="1"/>
    </row>
    <row r="19" spans="1:48">
      <c r="A19" s="12"/>
      <c r="B19" s="1">
        <v>18</v>
      </c>
      <c r="C19" s="1" t="s">
        <v>285</v>
      </c>
      <c r="D19" s="1" t="s">
        <v>210</v>
      </c>
      <c r="E19" s="1">
        <v>0.5</v>
      </c>
      <c r="F19" s="1" t="s">
        <v>286</v>
      </c>
      <c r="G19" s="1">
        <v>10</v>
      </c>
      <c r="H19" s="1" t="s">
        <v>287</v>
      </c>
      <c r="I19" s="1">
        <v>10</v>
      </c>
      <c r="J19" s="1" t="s">
        <v>288</v>
      </c>
      <c r="K19" s="1">
        <v>10</v>
      </c>
      <c r="L19" s="1">
        <v>35</v>
      </c>
      <c r="M19" s="1">
        <v>10</v>
      </c>
      <c r="N19" s="1">
        <v>35</v>
      </c>
      <c r="O19" s="1">
        <v>10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19" s="1" t="s">
        <v>43</v>
      </c>
      <c r="AB19" s="1">
        <v>10</v>
      </c>
      <c r="AC19" s="1" t="s">
        <v>179</v>
      </c>
      <c r="AD19" s="1">
        <v>10</v>
      </c>
      <c r="AE19" s="1" t="s">
        <v>44</v>
      </c>
      <c r="AF19" s="1">
        <v>10</v>
      </c>
      <c r="AG19" s="1"/>
      <c r="AH19" s="1"/>
      <c r="AI19" s="1"/>
      <c r="AJ19" s="1"/>
      <c r="AK19" s="4">
        <f>Table13[[#This Row],[KM]]+Table13[[#This Row],[LM]]+Table13[[#This Row],[MM]]+Table13[[#This Row],[NM]]+Table13[[#This Row],[OM]]</f>
        <v>30</v>
      </c>
      <c r="AL19" s="1" t="s">
        <v>51</v>
      </c>
      <c r="AM19" s="1">
        <v>5</v>
      </c>
      <c r="AN19" s="1" t="s">
        <v>52</v>
      </c>
      <c r="AO19" s="1">
        <v>5</v>
      </c>
      <c r="AP19" s="1" t="s">
        <v>53</v>
      </c>
      <c r="AQ19" s="1">
        <v>5</v>
      </c>
      <c r="AR19" s="1" t="s">
        <v>54</v>
      </c>
      <c r="AS19" s="1">
        <v>5</v>
      </c>
      <c r="AT19" s="4">
        <f>Table13[[#This Row],[PM]]+Table13[[#This Row],[QM]]+Table13[[#This Row],[RM]]+Table13[[#This Row],[SM]]</f>
        <v>20</v>
      </c>
      <c r="AU19" s="5">
        <f>Table13[[#This Row],[TOT1]]+Table13[[#This Row],[TOT2]]+Table13[[#This Row],[TOT3]]</f>
        <v>100</v>
      </c>
      <c r="AV19" s="1"/>
    </row>
    <row r="20" spans="1:48">
      <c r="A20" s="12"/>
      <c r="B20" s="1">
        <v>19</v>
      </c>
      <c r="C20" s="1" t="s">
        <v>289</v>
      </c>
      <c r="D20" s="1" t="s">
        <v>211</v>
      </c>
      <c r="E20" s="1">
        <v>0.5</v>
      </c>
      <c r="F20" s="1">
        <v>35</v>
      </c>
      <c r="G20" s="1">
        <v>10</v>
      </c>
      <c r="H20" s="1" t="s">
        <v>290</v>
      </c>
      <c r="I20" s="1">
        <v>10</v>
      </c>
      <c r="J20" s="1" t="s">
        <v>291</v>
      </c>
      <c r="K20" s="1">
        <v>10</v>
      </c>
      <c r="L20" s="1" t="s">
        <v>292</v>
      </c>
      <c r="M20" s="1">
        <v>10</v>
      </c>
      <c r="N20" s="1">
        <v>35</v>
      </c>
      <c r="O20" s="1">
        <v>10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20" s="1" t="s">
        <v>293</v>
      </c>
      <c r="AB20" s="1">
        <v>10</v>
      </c>
      <c r="AC20" s="1" t="s">
        <v>45</v>
      </c>
      <c r="AD20" s="1">
        <v>10</v>
      </c>
      <c r="AE20" s="1" t="s">
        <v>294</v>
      </c>
      <c r="AF20" s="1">
        <v>10</v>
      </c>
      <c r="AG20" s="1"/>
      <c r="AH20" s="1"/>
      <c r="AI20" s="1"/>
      <c r="AJ20" s="1"/>
      <c r="AK20" s="4">
        <f>Table13[[#This Row],[KM]]+Table13[[#This Row],[LM]]+Table13[[#This Row],[MM]]+Table13[[#This Row],[NM]]+Table13[[#This Row],[OM]]</f>
        <v>30</v>
      </c>
      <c r="AL20" s="1" t="s">
        <v>51</v>
      </c>
      <c r="AM20" s="1">
        <v>5</v>
      </c>
      <c r="AN20" s="1" t="s">
        <v>52</v>
      </c>
      <c r="AO20" s="1">
        <v>5</v>
      </c>
      <c r="AP20" s="1" t="s">
        <v>53</v>
      </c>
      <c r="AQ20" s="1">
        <v>5</v>
      </c>
      <c r="AR20" s="1" t="s">
        <v>54</v>
      </c>
      <c r="AS20" s="1">
        <v>5</v>
      </c>
      <c r="AT20" s="4">
        <f>Table13[[#This Row],[PM]]+Table13[[#This Row],[QM]]+Table13[[#This Row],[RM]]+Table13[[#This Row],[SM]]</f>
        <v>20</v>
      </c>
      <c r="AU20" s="5">
        <f>Table13[[#This Row],[TOT1]]+Table13[[#This Row],[TOT2]]+Table13[[#This Row],[TOT3]]</f>
        <v>100</v>
      </c>
      <c r="AV20" s="1"/>
    </row>
    <row r="21" spans="1:48">
      <c r="A21" s="12"/>
      <c r="B21" s="1">
        <v>20</v>
      </c>
      <c r="C21" s="1" t="s">
        <v>296</v>
      </c>
      <c r="D21" s="1" t="s">
        <v>212</v>
      </c>
      <c r="E21" s="1">
        <v>0.5</v>
      </c>
      <c r="F21" s="1">
        <v>43</v>
      </c>
      <c r="G21" s="1">
        <v>10</v>
      </c>
      <c r="H21" s="1">
        <v>20</v>
      </c>
      <c r="I21" s="1">
        <v>10</v>
      </c>
      <c r="J21" s="1">
        <v>8</v>
      </c>
      <c r="K21" s="1">
        <v>10</v>
      </c>
      <c r="L21" s="1">
        <v>20</v>
      </c>
      <c r="M21" s="1">
        <v>10</v>
      </c>
      <c r="N21" s="1" t="s">
        <v>295</v>
      </c>
      <c r="O21" s="1">
        <v>10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21" s="1" t="s">
        <v>43</v>
      </c>
      <c r="AB21" s="1">
        <v>10</v>
      </c>
      <c r="AC21" s="1" t="s">
        <v>179</v>
      </c>
      <c r="AD21" s="1">
        <v>10</v>
      </c>
      <c r="AE21" s="1" t="s">
        <v>44</v>
      </c>
      <c r="AF21" s="1">
        <v>10</v>
      </c>
      <c r="AG21" s="1"/>
      <c r="AH21" s="1"/>
      <c r="AI21" s="1"/>
      <c r="AJ21" s="1"/>
      <c r="AK21" s="4">
        <f>Table13[[#This Row],[KM]]+Table13[[#This Row],[LM]]+Table13[[#This Row],[MM]]+Table13[[#This Row],[NM]]+Table13[[#This Row],[OM]]</f>
        <v>30</v>
      </c>
      <c r="AL21" s="1" t="s">
        <v>51</v>
      </c>
      <c r="AM21" s="1">
        <v>5</v>
      </c>
      <c r="AN21" s="1" t="s">
        <v>52</v>
      </c>
      <c r="AO21" s="1">
        <v>5</v>
      </c>
      <c r="AP21" s="1" t="s">
        <v>53</v>
      </c>
      <c r="AQ21" s="1">
        <v>5</v>
      </c>
      <c r="AR21" s="1" t="s">
        <v>54</v>
      </c>
      <c r="AS21" s="1">
        <v>5</v>
      </c>
      <c r="AT21" s="4">
        <f>Table13[[#This Row],[PM]]+Table13[[#This Row],[QM]]+Table13[[#This Row],[RM]]+Table13[[#This Row],[SM]]</f>
        <v>20</v>
      </c>
      <c r="AU21" s="5">
        <f>Table13[[#This Row],[TOT1]]+Table13[[#This Row],[TOT2]]+Table13[[#This Row],[TOT3]]</f>
        <v>100</v>
      </c>
      <c r="AV21" s="1"/>
    </row>
    <row r="22" spans="1:48">
      <c r="A22" s="12"/>
      <c r="B22" s="1">
        <v>21</v>
      </c>
      <c r="C22" s="1" t="s">
        <v>3</v>
      </c>
      <c r="D22" s="1" t="s">
        <v>213</v>
      </c>
      <c r="E22" s="1">
        <v>0.5</v>
      </c>
      <c r="F22" s="1" t="s">
        <v>297</v>
      </c>
      <c r="G22" s="1">
        <v>5</v>
      </c>
      <c r="H22" s="1" t="s">
        <v>298</v>
      </c>
      <c r="I22" s="1">
        <v>5</v>
      </c>
      <c r="J22" s="1" t="s">
        <v>299</v>
      </c>
      <c r="K22" s="1">
        <v>5</v>
      </c>
      <c r="L22" s="1">
        <v>28</v>
      </c>
      <c r="M22" s="1">
        <v>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20</v>
      </c>
      <c r="AA22" s="1" t="s">
        <v>300</v>
      </c>
      <c r="AB22" s="1">
        <v>20</v>
      </c>
      <c r="AC22" s="1" t="s">
        <v>179</v>
      </c>
      <c r="AD22" s="1">
        <v>20</v>
      </c>
      <c r="AE22" s="1" t="s">
        <v>72</v>
      </c>
      <c r="AF22" s="1">
        <v>20</v>
      </c>
      <c r="AG22" s="1"/>
      <c r="AH22" s="1"/>
      <c r="AI22" s="1"/>
      <c r="AJ22" s="1"/>
      <c r="AK22" s="4">
        <f>Table13[[#This Row],[KM]]+Table13[[#This Row],[LM]]+Table13[[#This Row],[MM]]+Table13[[#This Row],[NM]]+Table13[[#This Row],[OM]]</f>
        <v>60</v>
      </c>
      <c r="AL22" s="1" t="s">
        <v>51</v>
      </c>
      <c r="AM22" s="1">
        <v>5</v>
      </c>
      <c r="AN22" s="1" t="s">
        <v>52</v>
      </c>
      <c r="AO22" s="1">
        <v>5</v>
      </c>
      <c r="AP22" s="1" t="s">
        <v>53</v>
      </c>
      <c r="AQ22" s="1">
        <v>5</v>
      </c>
      <c r="AR22" s="1" t="s">
        <v>54</v>
      </c>
      <c r="AS22" s="1">
        <v>5</v>
      </c>
      <c r="AT22" s="4">
        <f>Table13[[#This Row],[PM]]+Table13[[#This Row],[QM]]+Table13[[#This Row],[RM]]+Table13[[#This Row],[SM]]</f>
        <v>20</v>
      </c>
      <c r="AU22" s="5">
        <f>Table13[[#This Row],[TOT1]]+Table13[[#This Row],[TOT2]]+Table13[[#This Row],[TOT3]]</f>
        <v>100</v>
      </c>
      <c r="AV22" s="1"/>
    </row>
    <row r="23" spans="1:48">
      <c r="A23" s="12"/>
      <c r="B23" s="1">
        <v>22</v>
      </c>
      <c r="C23" s="1" t="s">
        <v>301</v>
      </c>
      <c r="D23" s="1" t="s">
        <v>214</v>
      </c>
      <c r="E23" s="1">
        <v>0.5</v>
      </c>
      <c r="F23" s="1">
        <v>20</v>
      </c>
      <c r="G23" s="1">
        <v>20</v>
      </c>
      <c r="H23" s="1">
        <v>20</v>
      </c>
      <c r="I23" s="1">
        <v>20</v>
      </c>
      <c r="J23" s="1" t="s">
        <v>295</v>
      </c>
      <c r="K23" s="1">
        <v>10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23" s="1" t="s">
        <v>43</v>
      </c>
      <c r="AB23" s="1">
        <v>10</v>
      </c>
      <c r="AC23" s="1" t="s">
        <v>179</v>
      </c>
      <c r="AD23" s="1">
        <v>10</v>
      </c>
      <c r="AE23" s="1" t="s">
        <v>44</v>
      </c>
      <c r="AF23" s="1">
        <v>10</v>
      </c>
      <c r="AG23" s="1"/>
      <c r="AH23" s="1"/>
      <c r="AI23" s="1"/>
      <c r="AJ23" s="1"/>
      <c r="AK23" s="4">
        <f>Table13[[#This Row],[KM]]+Table13[[#This Row],[LM]]+Table13[[#This Row],[MM]]+Table13[[#This Row],[NM]]+Table13[[#This Row],[OM]]</f>
        <v>30</v>
      </c>
      <c r="AL23" s="1" t="s">
        <v>51</v>
      </c>
      <c r="AM23" s="1">
        <v>5</v>
      </c>
      <c r="AN23" s="1" t="s">
        <v>52</v>
      </c>
      <c r="AO23" s="1">
        <v>5</v>
      </c>
      <c r="AP23" s="1" t="s">
        <v>53</v>
      </c>
      <c r="AQ23" s="1">
        <v>5</v>
      </c>
      <c r="AR23" s="1" t="s">
        <v>54</v>
      </c>
      <c r="AS23" s="1">
        <v>5</v>
      </c>
      <c r="AT23" s="4">
        <f>Table13[[#This Row],[PM]]+Table13[[#This Row],[QM]]+Table13[[#This Row],[RM]]+Table13[[#This Row],[SM]]</f>
        <v>20</v>
      </c>
      <c r="AU23" s="5">
        <f>Table13[[#This Row],[TOT1]]+Table13[[#This Row],[TOT2]]+Table13[[#This Row],[TOT3]]</f>
        <v>100</v>
      </c>
      <c r="AV23" s="1"/>
    </row>
    <row r="24" spans="1:48">
      <c r="A24" s="12"/>
      <c r="B24" s="1">
        <v>23</v>
      </c>
      <c r="C24" s="1"/>
      <c r="D24" s="1" t="s">
        <v>215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4">
        <f>Table13[[#This Row],[KM]]+Table13[[#This Row],[LM]]+Table13[[#This Row],[MM]]+Table13[[#This Row],[NM]]+Table13[[#This Row],[OM]]</f>
        <v>0</v>
      </c>
      <c r="AL24" s="1" t="s">
        <v>51</v>
      </c>
      <c r="AM24" s="1">
        <v>5</v>
      </c>
      <c r="AN24" s="1" t="s">
        <v>52</v>
      </c>
      <c r="AO24" s="1">
        <v>5</v>
      </c>
      <c r="AP24" s="1" t="s">
        <v>53</v>
      </c>
      <c r="AQ24" s="1">
        <v>5</v>
      </c>
      <c r="AR24" s="1" t="s">
        <v>54</v>
      </c>
      <c r="AS24" s="1">
        <v>5</v>
      </c>
      <c r="AT24" s="4">
        <f>Table13[[#This Row],[PM]]+Table13[[#This Row],[QM]]+Table13[[#This Row],[RM]]+Table13[[#This Row],[SM]]</f>
        <v>20</v>
      </c>
      <c r="AU24" s="5">
        <f>Table13[[#This Row],[TOT1]]+Table13[[#This Row],[TOT2]]+Table13[[#This Row],[TOT3]]</f>
        <v>20</v>
      </c>
      <c r="AV24" s="1"/>
    </row>
    <row r="25" spans="1:48">
      <c r="A25" s="12"/>
      <c r="B25" s="1">
        <v>24</v>
      </c>
      <c r="C25" s="1"/>
      <c r="D25" s="1" t="s">
        <v>216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4">
        <f>Table13[[#This Row],[KM]]+Table13[[#This Row],[LM]]+Table13[[#This Row],[MM]]+Table13[[#This Row],[NM]]+Table13[[#This Row],[OM]]</f>
        <v>0</v>
      </c>
      <c r="AL25" s="1" t="s">
        <v>51</v>
      </c>
      <c r="AM25" s="1">
        <v>5</v>
      </c>
      <c r="AN25" s="1" t="s">
        <v>52</v>
      </c>
      <c r="AO25" s="1">
        <v>5</v>
      </c>
      <c r="AP25" s="1" t="s">
        <v>53</v>
      </c>
      <c r="AQ25" s="1">
        <v>5</v>
      </c>
      <c r="AR25" s="1" t="s">
        <v>54</v>
      </c>
      <c r="AS25" s="1">
        <v>5</v>
      </c>
      <c r="AT25" s="4">
        <f>Table13[[#This Row],[PM]]+Table13[[#This Row],[QM]]+Table13[[#This Row],[RM]]+Table13[[#This Row],[SM]]</f>
        <v>20</v>
      </c>
      <c r="AU25" s="5">
        <f>Table13[[#This Row],[TOT1]]+Table13[[#This Row],[TOT2]]+Table13[[#This Row],[TOT3]]</f>
        <v>20</v>
      </c>
      <c r="AV25" s="1"/>
    </row>
    <row r="26" spans="1:48">
      <c r="A26" s="12"/>
      <c r="B26" s="1">
        <v>25</v>
      </c>
      <c r="C26" s="1"/>
      <c r="D26" s="1" t="s">
        <v>217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4">
        <f>Table13[[#This Row],[KM]]+Table13[[#This Row],[LM]]+Table13[[#This Row],[MM]]+Table13[[#This Row],[NM]]+Table13[[#This Row],[OM]]</f>
        <v>0</v>
      </c>
      <c r="AL26" s="1" t="s">
        <v>51</v>
      </c>
      <c r="AM26" s="1">
        <v>5</v>
      </c>
      <c r="AN26" s="1" t="s">
        <v>52</v>
      </c>
      <c r="AO26" s="1">
        <v>5</v>
      </c>
      <c r="AP26" s="1" t="s">
        <v>53</v>
      </c>
      <c r="AQ26" s="1">
        <v>5</v>
      </c>
      <c r="AR26" s="1" t="s">
        <v>54</v>
      </c>
      <c r="AS26" s="1">
        <v>5</v>
      </c>
      <c r="AT26" s="4">
        <f>Table13[[#This Row],[PM]]+Table13[[#This Row],[QM]]+Table13[[#This Row],[RM]]+Table13[[#This Row],[SM]]</f>
        <v>20</v>
      </c>
      <c r="AU26" s="5">
        <f>Table13[[#This Row],[TOT1]]+Table13[[#This Row],[TOT2]]+Table13[[#This Row],[TOT3]]</f>
        <v>20</v>
      </c>
      <c r="AV26" s="1"/>
    </row>
    <row r="27" spans="1:48">
      <c r="A27" s="12"/>
      <c r="B27" s="1">
        <v>26</v>
      </c>
      <c r="C27" s="1"/>
      <c r="D27" s="1" t="s">
        <v>218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4">
        <f>Table13[[#This Row],[KM]]+Table13[[#This Row],[LM]]+Table13[[#This Row],[MM]]+Table13[[#This Row],[NM]]+Table13[[#This Row],[OM]]</f>
        <v>0</v>
      </c>
      <c r="AL27" s="1" t="s">
        <v>51</v>
      </c>
      <c r="AM27" s="1">
        <v>5</v>
      </c>
      <c r="AN27" s="1" t="s">
        <v>52</v>
      </c>
      <c r="AO27" s="1">
        <v>5</v>
      </c>
      <c r="AP27" s="1" t="s">
        <v>53</v>
      </c>
      <c r="AQ27" s="1">
        <v>5</v>
      </c>
      <c r="AR27" s="1" t="s">
        <v>54</v>
      </c>
      <c r="AS27" s="1">
        <v>5</v>
      </c>
      <c r="AT27" s="4">
        <f>Table13[[#This Row],[PM]]+Table13[[#This Row],[QM]]+Table13[[#This Row],[RM]]+Table13[[#This Row],[SM]]</f>
        <v>20</v>
      </c>
      <c r="AU27" s="5">
        <f>Table13[[#This Row],[TOT1]]+Table13[[#This Row],[TOT2]]+Table13[[#This Row],[TOT3]]</f>
        <v>20</v>
      </c>
      <c r="AV27" s="1"/>
    </row>
    <row r="28" spans="1:48">
      <c r="A28" s="12"/>
      <c r="B28" s="1">
        <v>27</v>
      </c>
      <c r="C28" s="1"/>
      <c r="D28" s="1" t="s">
        <v>219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4">
        <f>Table13[[#This Row],[KM]]+Table13[[#This Row],[LM]]+Table13[[#This Row],[MM]]+Table13[[#This Row],[NM]]+Table13[[#This Row],[OM]]</f>
        <v>0</v>
      </c>
      <c r="AL28" s="1" t="s">
        <v>51</v>
      </c>
      <c r="AM28" s="1">
        <v>5</v>
      </c>
      <c r="AN28" s="1" t="s">
        <v>52</v>
      </c>
      <c r="AO28" s="1">
        <v>5</v>
      </c>
      <c r="AP28" s="1" t="s">
        <v>53</v>
      </c>
      <c r="AQ28" s="1">
        <v>5</v>
      </c>
      <c r="AR28" s="1" t="s">
        <v>54</v>
      </c>
      <c r="AS28" s="1">
        <v>5</v>
      </c>
      <c r="AT28" s="4">
        <f>Table13[[#This Row],[PM]]+Table13[[#This Row],[QM]]+Table13[[#This Row],[RM]]+Table13[[#This Row],[SM]]</f>
        <v>20</v>
      </c>
      <c r="AU28" s="5">
        <f>Table13[[#This Row],[TOT1]]+Table13[[#This Row],[TOT2]]+Table13[[#This Row],[TOT3]]</f>
        <v>20</v>
      </c>
      <c r="AV28" s="1"/>
    </row>
    <row r="29" spans="1:48">
      <c r="A29" s="12"/>
      <c r="B29" s="1">
        <v>28</v>
      </c>
      <c r="C29" s="1"/>
      <c r="D29" s="1" t="s">
        <v>220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4">
        <f>Table13[[#This Row],[KM]]+Table13[[#This Row],[LM]]+Table13[[#This Row],[MM]]+Table13[[#This Row],[NM]]+Table13[[#This Row],[OM]]</f>
        <v>0</v>
      </c>
      <c r="AL29" s="1" t="s">
        <v>51</v>
      </c>
      <c r="AM29" s="1">
        <v>5</v>
      </c>
      <c r="AN29" s="1" t="s">
        <v>52</v>
      </c>
      <c r="AO29" s="1">
        <v>5</v>
      </c>
      <c r="AP29" s="1" t="s">
        <v>53</v>
      </c>
      <c r="AQ29" s="1">
        <v>5</v>
      </c>
      <c r="AR29" s="1" t="s">
        <v>54</v>
      </c>
      <c r="AS29" s="1">
        <v>5</v>
      </c>
      <c r="AT29" s="4">
        <f>Table13[[#This Row],[PM]]+Table13[[#This Row],[QM]]+Table13[[#This Row],[RM]]+Table13[[#This Row],[SM]]</f>
        <v>20</v>
      </c>
      <c r="AU29" s="5">
        <f>Table13[[#This Row],[TOT1]]+Table13[[#This Row],[TOT2]]+Table13[[#This Row],[TOT3]]</f>
        <v>20</v>
      </c>
      <c r="AV29" s="1"/>
    </row>
    <row r="30" spans="1:48">
      <c r="A30" s="12"/>
      <c r="B30" s="1">
        <v>29</v>
      </c>
      <c r="C30" s="1"/>
      <c r="D30" s="1" t="s">
        <v>221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4">
        <f>Table13[[#This Row],[KM]]+Table13[[#This Row],[LM]]+Table13[[#This Row],[MM]]+Table13[[#This Row],[NM]]+Table13[[#This Row],[OM]]</f>
        <v>0</v>
      </c>
      <c r="AL30" s="1" t="s">
        <v>51</v>
      </c>
      <c r="AM30" s="1">
        <v>5</v>
      </c>
      <c r="AN30" s="1" t="s">
        <v>52</v>
      </c>
      <c r="AO30" s="1">
        <v>5</v>
      </c>
      <c r="AP30" s="1" t="s">
        <v>53</v>
      </c>
      <c r="AQ30" s="1">
        <v>5</v>
      </c>
      <c r="AR30" s="1" t="s">
        <v>54</v>
      </c>
      <c r="AS30" s="1">
        <v>5</v>
      </c>
      <c r="AT30" s="4">
        <f>Table13[[#This Row],[PM]]+Table13[[#This Row],[QM]]+Table13[[#This Row],[RM]]+Table13[[#This Row],[SM]]</f>
        <v>20</v>
      </c>
      <c r="AU30" s="5">
        <f>Table13[[#This Row],[TOT1]]+Table13[[#This Row],[TOT2]]+Table13[[#This Row],[TOT3]]</f>
        <v>20</v>
      </c>
      <c r="AV30" s="1"/>
    </row>
    <row r="31" spans="1:48">
      <c r="A31" s="12"/>
      <c r="B31" s="1">
        <v>30</v>
      </c>
      <c r="C31" s="1"/>
      <c r="D31" s="1" t="s">
        <v>222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4">
        <f>Table13[[#This Row],[KM]]+Table13[[#This Row],[LM]]+Table13[[#This Row],[MM]]+Table13[[#This Row],[NM]]+Table13[[#This Row],[OM]]</f>
        <v>0</v>
      </c>
      <c r="AL31" s="1" t="s">
        <v>51</v>
      </c>
      <c r="AM31" s="1">
        <v>5</v>
      </c>
      <c r="AN31" s="1" t="s">
        <v>52</v>
      </c>
      <c r="AO31" s="1">
        <v>5</v>
      </c>
      <c r="AP31" s="1" t="s">
        <v>53</v>
      </c>
      <c r="AQ31" s="1">
        <v>5</v>
      </c>
      <c r="AR31" s="1" t="s">
        <v>54</v>
      </c>
      <c r="AS31" s="1">
        <v>5</v>
      </c>
      <c r="AT31" s="4">
        <f>Table13[[#This Row],[PM]]+Table13[[#This Row],[QM]]+Table13[[#This Row],[RM]]+Table13[[#This Row],[SM]]</f>
        <v>20</v>
      </c>
      <c r="AU31" s="5">
        <f>Table13[[#This Row],[TOT1]]+Table13[[#This Row],[TOT2]]+Table13[[#This Row],[TOT3]]</f>
        <v>20</v>
      </c>
      <c r="AV31" s="1"/>
    </row>
    <row r="32" spans="1:48">
      <c r="A32" s="12"/>
      <c r="B32" s="1">
        <v>31</v>
      </c>
      <c r="C32" s="1"/>
      <c r="D32" s="1" t="s">
        <v>223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4">
        <f>Table13[[#This Row],[KM]]+Table13[[#This Row],[LM]]+Table13[[#This Row],[MM]]+Table13[[#This Row],[NM]]+Table13[[#This Row],[OM]]</f>
        <v>0</v>
      </c>
      <c r="AL32" s="1" t="s">
        <v>51</v>
      </c>
      <c r="AM32" s="1">
        <v>5</v>
      </c>
      <c r="AN32" s="1" t="s">
        <v>52</v>
      </c>
      <c r="AO32" s="1">
        <v>5</v>
      </c>
      <c r="AP32" s="1" t="s">
        <v>53</v>
      </c>
      <c r="AQ32" s="1">
        <v>5</v>
      </c>
      <c r="AR32" s="1" t="s">
        <v>54</v>
      </c>
      <c r="AS32" s="1">
        <v>5</v>
      </c>
      <c r="AT32" s="4">
        <f>Table13[[#This Row],[PM]]+Table13[[#This Row],[QM]]+Table13[[#This Row],[RM]]+Table13[[#This Row],[SM]]</f>
        <v>20</v>
      </c>
      <c r="AU32" s="5">
        <f>Table13[[#This Row],[TOT1]]+Table13[[#This Row],[TOT2]]+Table13[[#This Row],[TOT3]]</f>
        <v>20</v>
      </c>
      <c r="AV32" s="1"/>
    </row>
    <row r="33" spans="1:48">
      <c r="A33" s="12"/>
      <c r="B33" s="1">
        <v>32</v>
      </c>
      <c r="C33" s="1"/>
      <c r="D33" s="1" t="s">
        <v>224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4">
        <f>Table13[[#This Row],[KM]]+Table13[[#This Row],[LM]]+Table13[[#This Row],[MM]]+Table13[[#This Row],[NM]]+Table13[[#This Row],[OM]]</f>
        <v>0</v>
      </c>
      <c r="AL33" s="1" t="s">
        <v>51</v>
      </c>
      <c r="AM33" s="1">
        <v>5</v>
      </c>
      <c r="AN33" s="1" t="s">
        <v>52</v>
      </c>
      <c r="AO33" s="1">
        <v>5</v>
      </c>
      <c r="AP33" s="1" t="s">
        <v>53</v>
      </c>
      <c r="AQ33" s="1">
        <v>5</v>
      </c>
      <c r="AR33" s="1" t="s">
        <v>54</v>
      </c>
      <c r="AS33" s="1">
        <v>5</v>
      </c>
      <c r="AT33" s="4">
        <f>Table13[[#This Row],[PM]]+Table13[[#This Row],[QM]]+Table13[[#This Row],[RM]]+Table13[[#This Row],[SM]]</f>
        <v>20</v>
      </c>
      <c r="AU33" s="5">
        <f>Table13[[#This Row],[TOT1]]+Table13[[#This Row],[TOT2]]+Table13[[#This Row],[TOT3]]</f>
        <v>20</v>
      </c>
      <c r="AV33" s="1"/>
    </row>
    <row r="34" spans="1:48">
      <c r="A34" s="12"/>
      <c r="B34" s="1">
        <v>33</v>
      </c>
      <c r="C34" s="1"/>
      <c r="D34" s="1" t="s">
        <v>225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4">
        <f>Table13[[#This Row],[KM]]+Table13[[#This Row],[LM]]+Table13[[#This Row],[MM]]+Table13[[#This Row],[NM]]+Table13[[#This Row],[OM]]</f>
        <v>0</v>
      </c>
      <c r="AL34" s="1" t="s">
        <v>51</v>
      </c>
      <c r="AM34" s="1">
        <v>5</v>
      </c>
      <c r="AN34" s="1" t="s">
        <v>52</v>
      </c>
      <c r="AO34" s="1">
        <v>5</v>
      </c>
      <c r="AP34" s="1" t="s">
        <v>53</v>
      </c>
      <c r="AQ34" s="1">
        <v>5</v>
      </c>
      <c r="AR34" s="1" t="s">
        <v>54</v>
      </c>
      <c r="AS34" s="1">
        <v>5</v>
      </c>
      <c r="AT34" s="4">
        <f>Table13[[#This Row],[PM]]+Table13[[#This Row],[QM]]+Table13[[#This Row],[RM]]+Table13[[#This Row],[SM]]</f>
        <v>20</v>
      </c>
      <c r="AU34" s="5">
        <f>Table13[[#This Row],[TOT1]]+Table13[[#This Row],[TOT2]]+Table13[[#This Row],[TOT3]]</f>
        <v>20</v>
      </c>
      <c r="AV34" s="1"/>
    </row>
    <row r="35" spans="1:48">
      <c r="A35" s="12"/>
      <c r="B35" s="1">
        <v>34</v>
      </c>
      <c r="C35" s="1"/>
      <c r="D35" s="1" t="s">
        <v>226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4">
        <f>Table13[[#This Row],[KM]]+Table13[[#This Row],[LM]]+Table13[[#This Row],[MM]]+Table13[[#This Row],[NM]]+Table13[[#This Row],[OM]]</f>
        <v>0</v>
      </c>
      <c r="AL35" s="1" t="s">
        <v>51</v>
      </c>
      <c r="AM35" s="1">
        <v>5</v>
      </c>
      <c r="AN35" s="1" t="s">
        <v>52</v>
      </c>
      <c r="AO35" s="1">
        <v>5</v>
      </c>
      <c r="AP35" s="1" t="s">
        <v>53</v>
      </c>
      <c r="AQ35" s="1">
        <v>5</v>
      </c>
      <c r="AR35" s="1" t="s">
        <v>54</v>
      </c>
      <c r="AS35" s="1">
        <v>5</v>
      </c>
      <c r="AT35" s="4">
        <f>Table13[[#This Row],[PM]]+Table13[[#This Row],[QM]]+Table13[[#This Row],[RM]]+Table13[[#This Row],[SM]]</f>
        <v>20</v>
      </c>
      <c r="AU35" s="5">
        <f>Table13[[#This Row],[TOT1]]+Table13[[#This Row],[TOT2]]+Table13[[#This Row],[TOT3]]</f>
        <v>20</v>
      </c>
      <c r="AV35" s="1"/>
    </row>
    <row r="36" spans="1:48">
      <c r="A36" s="12"/>
      <c r="B36" s="1">
        <v>35</v>
      </c>
      <c r="C36" s="1"/>
      <c r="D36" s="1" t="s">
        <v>227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4">
        <f>Table13[[#This Row],[KM]]+Table13[[#This Row],[LM]]+Table13[[#This Row],[MM]]+Table13[[#This Row],[NM]]+Table13[[#This Row],[OM]]</f>
        <v>0</v>
      </c>
      <c r="AL36" s="1" t="s">
        <v>51</v>
      </c>
      <c r="AM36" s="1">
        <v>5</v>
      </c>
      <c r="AN36" s="1" t="s">
        <v>52</v>
      </c>
      <c r="AO36" s="1">
        <v>5</v>
      </c>
      <c r="AP36" s="1" t="s">
        <v>53</v>
      </c>
      <c r="AQ36" s="1">
        <v>5</v>
      </c>
      <c r="AR36" s="1" t="s">
        <v>54</v>
      </c>
      <c r="AS36" s="1">
        <v>5</v>
      </c>
      <c r="AT36" s="4">
        <f>Table13[[#This Row],[PM]]+Table13[[#This Row],[QM]]+Table13[[#This Row],[RM]]+Table13[[#This Row],[SM]]</f>
        <v>20</v>
      </c>
      <c r="AU36" s="5">
        <f>Table13[[#This Row],[TOT1]]+Table13[[#This Row],[TOT2]]+Table13[[#This Row],[TOT3]]</f>
        <v>20</v>
      </c>
      <c r="AV36" s="1"/>
    </row>
    <row r="37" spans="1:48">
      <c r="A37" s="12"/>
      <c r="B37" s="1">
        <v>36</v>
      </c>
      <c r="C37" s="1"/>
      <c r="D37" s="1" t="s">
        <v>228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4">
        <f>Table13[[#This Row],[KM]]+Table13[[#This Row],[LM]]+Table13[[#This Row],[MM]]+Table13[[#This Row],[NM]]+Table13[[#This Row],[OM]]</f>
        <v>0</v>
      </c>
      <c r="AL37" s="1" t="s">
        <v>51</v>
      </c>
      <c r="AM37" s="1">
        <v>5</v>
      </c>
      <c r="AN37" s="1" t="s">
        <v>52</v>
      </c>
      <c r="AO37" s="1">
        <v>5</v>
      </c>
      <c r="AP37" s="1" t="s">
        <v>53</v>
      </c>
      <c r="AQ37" s="1">
        <v>5</v>
      </c>
      <c r="AR37" s="1" t="s">
        <v>54</v>
      </c>
      <c r="AS37" s="1">
        <v>5</v>
      </c>
      <c r="AT37" s="4">
        <f>Table13[[#This Row],[PM]]+Table13[[#This Row],[QM]]+Table13[[#This Row],[RM]]+Table13[[#This Row],[SM]]</f>
        <v>20</v>
      </c>
      <c r="AU37" s="5">
        <f>Table13[[#This Row],[TOT1]]+Table13[[#This Row],[TOT2]]+Table13[[#This Row],[TOT3]]</f>
        <v>20</v>
      </c>
      <c r="AV37" s="1"/>
    </row>
    <row r="38" spans="1:48">
      <c r="A38" s="12"/>
      <c r="B38" s="1">
        <v>37</v>
      </c>
      <c r="C38" s="1"/>
      <c r="D38" s="1" t="s">
        <v>229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4">
        <f>Table13[[#This Row],[KM]]+Table13[[#This Row],[LM]]+Table13[[#This Row],[MM]]+Table13[[#This Row],[NM]]+Table13[[#This Row],[OM]]</f>
        <v>0</v>
      </c>
      <c r="AL38" s="1" t="s">
        <v>51</v>
      </c>
      <c r="AM38" s="1">
        <v>5</v>
      </c>
      <c r="AN38" s="1" t="s">
        <v>52</v>
      </c>
      <c r="AO38" s="1">
        <v>5</v>
      </c>
      <c r="AP38" s="1" t="s">
        <v>53</v>
      </c>
      <c r="AQ38" s="1">
        <v>5</v>
      </c>
      <c r="AR38" s="1" t="s">
        <v>54</v>
      </c>
      <c r="AS38" s="1">
        <v>5</v>
      </c>
      <c r="AT38" s="4">
        <f>Table13[[#This Row],[PM]]+Table13[[#This Row],[QM]]+Table13[[#This Row],[RM]]+Table13[[#This Row],[SM]]</f>
        <v>20</v>
      </c>
      <c r="AU38" s="5">
        <f>Table13[[#This Row],[TOT1]]+Table13[[#This Row],[TOT2]]+Table13[[#This Row],[TOT3]]</f>
        <v>20</v>
      </c>
      <c r="AV38" s="1"/>
    </row>
    <row r="39" spans="1:48">
      <c r="A39" s="12"/>
      <c r="B39" s="1">
        <v>38</v>
      </c>
      <c r="C39" s="1"/>
      <c r="D39" s="1" t="s">
        <v>230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4">
        <f>Table13[[#This Row],[KM]]+Table13[[#This Row],[LM]]+Table13[[#This Row],[MM]]+Table13[[#This Row],[NM]]+Table13[[#This Row],[OM]]</f>
        <v>0</v>
      </c>
      <c r="AL39" s="1" t="s">
        <v>51</v>
      </c>
      <c r="AM39" s="1">
        <v>5</v>
      </c>
      <c r="AN39" s="1" t="s">
        <v>52</v>
      </c>
      <c r="AO39" s="1">
        <v>5</v>
      </c>
      <c r="AP39" s="1" t="s">
        <v>53</v>
      </c>
      <c r="AQ39" s="1">
        <v>5</v>
      </c>
      <c r="AR39" s="1" t="s">
        <v>54</v>
      </c>
      <c r="AS39" s="1">
        <v>5</v>
      </c>
      <c r="AT39" s="4">
        <f>Table13[[#This Row],[PM]]+Table13[[#This Row],[QM]]+Table13[[#This Row],[RM]]+Table13[[#This Row],[SM]]</f>
        <v>20</v>
      </c>
      <c r="AU39" s="5">
        <f>Table13[[#This Row],[TOT1]]+Table13[[#This Row],[TOT2]]+Table13[[#This Row],[TOT3]]</f>
        <v>20</v>
      </c>
      <c r="AV39" s="1"/>
    </row>
    <row r="40" spans="1:48">
      <c r="A40" s="12"/>
      <c r="B40" s="1">
        <v>39</v>
      </c>
      <c r="C40" s="1"/>
      <c r="D40" s="1" t="s">
        <v>231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4">
        <f>Table13[[#This Row],[KM]]+Table13[[#This Row],[LM]]+Table13[[#This Row],[MM]]+Table13[[#This Row],[NM]]+Table13[[#This Row],[OM]]</f>
        <v>0</v>
      </c>
      <c r="AL40" s="1" t="s">
        <v>51</v>
      </c>
      <c r="AM40" s="1">
        <v>5</v>
      </c>
      <c r="AN40" s="1" t="s">
        <v>52</v>
      </c>
      <c r="AO40" s="1">
        <v>5</v>
      </c>
      <c r="AP40" s="1" t="s">
        <v>53</v>
      </c>
      <c r="AQ40" s="1">
        <v>5</v>
      </c>
      <c r="AR40" s="1" t="s">
        <v>54</v>
      </c>
      <c r="AS40" s="1">
        <v>5</v>
      </c>
      <c r="AT40" s="4">
        <f>Table13[[#This Row],[PM]]+Table13[[#This Row],[QM]]+Table13[[#This Row],[RM]]+Table13[[#This Row],[SM]]</f>
        <v>20</v>
      </c>
      <c r="AU40" s="5">
        <f>Table13[[#This Row],[TOT1]]+Table13[[#This Row],[TOT2]]+Table13[[#This Row],[TOT3]]</f>
        <v>20</v>
      </c>
      <c r="AV40" s="1"/>
    </row>
    <row r="41" spans="1:48">
      <c r="A41" s="12"/>
      <c r="B41" s="1">
        <v>40</v>
      </c>
      <c r="C41" s="1"/>
      <c r="D41" s="1" t="s">
        <v>232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4">
        <f>Table13[[#This Row],[KM]]+Table13[[#This Row],[LM]]+Table13[[#This Row],[MM]]+Table13[[#This Row],[NM]]+Table13[[#This Row],[OM]]</f>
        <v>0</v>
      </c>
      <c r="AL41" s="1" t="s">
        <v>51</v>
      </c>
      <c r="AM41" s="1">
        <v>5</v>
      </c>
      <c r="AN41" s="1" t="s">
        <v>52</v>
      </c>
      <c r="AO41" s="1">
        <v>5</v>
      </c>
      <c r="AP41" s="1" t="s">
        <v>53</v>
      </c>
      <c r="AQ41" s="1">
        <v>5</v>
      </c>
      <c r="AR41" s="1" t="s">
        <v>54</v>
      </c>
      <c r="AS41" s="1">
        <v>5</v>
      </c>
      <c r="AT41" s="4">
        <f>Table13[[#This Row],[PM]]+Table13[[#This Row],[QM]]+Table13[[#This Row],[RM]]+Table13[[#This Row],[SM]]</f>
        <v>20</v>
      </c>
      <c r="AU41" s="5">
        <f>Table13[[#This Row],[TOT1]]+Table13[[#This Row],[TOT2]]+Table13[[#This Row],[TOT3]]</f>
        <v>20</v>
      </c>
      <c r="AV41" s="1"/>
    </row>
    <row r="42" spans="1:48">
      <c r="A42" s="12"/>
      <c r="B42" s="1">
        <v>41</v>
      </c>
      <c r="C42" s="1"/>
      <c r="D42" s="1" t="s">
        <v>233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4">
        <f>Table13[[#This Row],[KM]]+Table13[[#This Row],[LM]]+Table13[[#This Row],[MM]]+Table13[[#This Row],[NM]]+Table13[[#This Row],[OM]]</f>
        <v>0</v>
      </c>
      <c r="AL42" s="1" t="s">
        <v>51</v>
      </c>
      <c r="AM42" s="1">
        <v>5</v>
      </c>
      <c r="AN42" s="1" t="s">
        <v>52</v>
      </c>
      <c r="AO42" s="1">
        <v>5</v>
      </c>
      <c r="AP42" s="1" t="s">
        <v>53</v>
      </c>
      <c r="AQ42" s="1">
        <v>5</v>
      </c>
      <c r="AR42" s="1" t="s">
        <v>54</v>
      </c>
      <c r="AS42" s="1">
        <v>5</v>
      </c>
      <c r="AT42" s="4">
        <f>Table13[[#This Row],[PM]]+Table13[[#This Row],[QM]]+Table13[[#This Row],[RM]]+Table13[[#This Row],[SM]]</f>
        <v>20</v>
      </c>
      <c r="AU42" s="5">
        <f>Table13[[#This Row],[TOT1]]+Table13[[#This Row],[TOT2]]+Table13[[#This Row],[TOT3]]</f>
        <v>20</v>
      </c>
      <c r="AV42" s="1"/>
    </row>
    <row r="43" spans="1:48">
      <c r="A43" s="12"/>
      <c r="B43" s="1">
        <v>42</v>
      </c>
      <c r="C43" s="1"/>
      <c r="D43" s="1" t="s">
        <v>234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4">
        <f>Table13[[#This Row],[KM]]+Table13[[#This Row],[LM]]+Table13[[#This Row],[MM]]+Table13[[#This Row],[NM]]+Table13[[#This Row],[OM]]</f>
        <v>0</v>
      </c>
      <c r="AL43" s="1" t="s">
        <v>51</v>
      </c>
      <c r="AM43" s="1">
        <v>5</v>
      </c>
      <c r="AN43" s="1" t="s">
        <v>52</v>
      </c>
      <c r="AO43" s="1">
        <v>5</v>
      </c>
      <c r="AP43" s="1" t="s">
        <v>53</v>
      </c>
      <c r="AQ43" s="1">
        <v>5</v>
      </c>
      <c r="AR43" s="1" t="s">
        <v>54</v>
      </c>
      <c r="AS43" s="1">
        <v>5</v>
      </c>
      <c r="AT43" s="4">
        <f>Table13[[#This Row],[PM]]+Table13[[#This Row],[QM]]+Table13[[#This Row],[RM]]+Table13[[#This Row],[SM]]</f>
        <v>20</v>
      </c>
      <c r="AU43" s="5">
        <f>Table13[[#This Row],[TOT1]]+Table13[[#This Row],[TOT2]]+Table13[[#This Row],[TOT3]]</f>
        <v>20</v>
      </c>
      <c r="AV43" s="1"/>
    </row>
    <row r="44" spans="1:48">
      <c r="A44" s="12"/>
      <c r="B44" s="1">
        <v>43</v>
      </c>
      <c r="C44" s="1"/>
      <c r="D44" s="1" t="s">
        <v>235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4">
        <f>Table13[[#This Row],[KM]]+Table13[[#This Row],[LM]]+Table13[[#This Row],[MM]]+Table13[[#This Row],[NM]]+Table13[[#This Row],[OM]]</f>
        <v>0</v>
      </c>
      <c r="AL44" s="1" t="s">
        <v>51</v>
      </c>
      <c r="AM44" s="1">
        <v>5</v>
      </c>
      <c r="AN44" s="1" t="s">
        <v>52</v>
      </c>
      <c r="AO44" s="1">
        <v>5</v>
      </c>
      <c r="AP44" s="1" t="s">
        <v>53</v>
      </c>
      <c r="AQ44" s="1">
        <v>5</v>
      </c>
      <c r="AR44" s="1" t="s">
        <v>54</v>
      </c>
      <c r="AS44" s="1">
        <v>5</v>
      </c>
      <c r="AT44" s="4">
        <f>Table13[[#This Row],[PM]]+Table13[[#This Row],[QM]]+Table13[[#This Row],[RM]]+Table13[[#This Row],[SM]]</f>
        <v>20</v>
      </c>
      <c r="AU44" s="5">
        <f>Table13[[#This Row],[TOT1]]+Table13[[#This Row],[TOT2]]+Table13[[#This Row],[TOT3]]</f>
        <v>20</v>
      </c>
      <c r="AV44" s="1"/>
    </row>
    <row r="45" spans="1:48">
      <c r="A45" s="12"/>
      <c r="B45" s="1">
        <v>44</v>
      </c>
      <c r="C45" s="1"/>
      <c r="D45" s="1" t="s">
        <v>236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4">
        <f>Table13[[#This Row],[KM]]+Table13[[#This Row],[LM]]+Table13[[#This Row],[MM]]+Table13[[#This Row],[NM]]+Table13[[#This Row],[OM]]</f>
        <v>0</v>
      </c>
      <c r="AL45" s="1" t="s">
        <v>51</v>
      </c>
      <c r="AM45" s="1">
        <v>5</v>
      </c>
      <c r="AN45" s="1" t="s">
        <v>52</v>
      </c>
      <c r="AO45" s="1">
        <v>5</v>
      </c>
      <c r="AP45" s="1" t="s">
        <v>53</v>
      </c>
      <c r="AQ45" s="1">
        <v>5</v>
      </c>
      <c r="AR45" s="1" t="s">
        <v>54</v>
      </c>
      <c r="AS45" s="1">
        <v>5</v>
      </c>
      <c r="AT45" s="4">
        <f>Table13[[#This Row],[PM]]+Table13[[#This Row],[QM]]+Table13[[#This Row],[RM]]+Table13[[#This Row],[SM]]</f>
        <v>20</v>
      </c>
      <c r="AU45" s="5">
        <f>Table13[[#This Row],[TOT1]]+Table13[[#This Row],[TOT2]]+Table13[[#This Row],[TOT3]]</f>
        <v>20</v>
      </c>
      <c r="AV45" s="1"/>
    </row>
    <row r="46" spans="1:48">
      <c r="A46" s="12"/>
      <c r="B46" s="1">
        <v>45</v>
      </c>
      <c r="C46" s="1"/>
      <c r="D46" s="1" t="s">
        <v>237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4">
        <f>Table13[[#This Row],[KM]]+Table13[[#This Row],[LM]]+Table13[[#This Row],[MM]]+Table13[[#This Row],[NM]]+Table13[[#This Row],[OM]]</f>
        <v>0</v>
      </c>
      <c r="AL46" s="1" t="s">
        <v>51</v>
      </c>
      <c r="AM46" s="1">
        <v>5</v>
      </c>
      <c r="AN46" s="1" t="s">
        <v>52</v>
      </c>
      <c r="AO46" s="1">
        <v>5</v>
      </c>
      <c r="AP46" s="1" t="s">
        <v>53</v>
      </c>
      <c r="AQ46" s="1">
        <v>5</v>
      </c>
      <c r="AR46" s="1" t="s">
        <v>54</v>
      </c>
      <c r="AS46" s="1">
        <v>5</v>
      </c>
      <c r="AT46" s="4">
        <f>Table13[[#This Row],[PM]]+Table13[[#This Row],[QM]]+Table13[[#This Row],[RM]]+Table13[[#This Row],[SM]]</f>
        <v>20</v>
      </c>
      <c r="AU46" s="5">
        <f>Table13[[#This Row],[TOT1]]+Table13[[#This Row],[TOT2]]+Table13[[#This Row],[TOT3]]</f>
        <v>20</v>
      </c>
      <c r="AV46" s="1"/>
    </row>
    <row r="47" spans="1:48">
      <c r="A47" s="12"/>
      <c r="B47" s="1">
        <v>46</v>
      </c>
      <c r="C47" s="1"/>
      <c r="D47" s="1" t="s">
        <v>238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4">
        <f>Table13[[#This Row],[KM]]+Table13[[#This Row],[LM]]+Table13[[#This Row],[MM]]+Table13[[#This Row],[NM]]+Table13[[#This Row],[OM]]</f>
        <v>0</v>
      </c>
      <c r="AL47" s="1" t="s">
        <v>51</v>
      </c>
      <c r="AM47" s="1">
        <v>5</v>
      </c>
      <c r="AN47" s="1" t="s">
        <v>52</v>
      </c>
      <c r="AO47" s="1">
        <v>5</v>
      </c>
      <c r="AP47" s="1" t="s">
        <v>53</v>
      </c>
      <c r="AQ47" s="1">
        <v>5</v>
      </c>
      <c r="AR47" s="1" t="s">
        <v>54</v>
      </c>
      <c r="AS47" s="1">
        <v>5</v>
      </c>
      <c r="AT47" s="4">
        <f>Table13[[#This Row],[PM]]+Table13[[#This Row],[QM]]+Table13[[#This Row],[RM]]+Table13[[#This Row],[SM]]</f>
        <v>20</v>
      </c>
      <c r="AU47" s="5">
        <f>Table13[[#This Row],[TOT1]]+Table13[[#This Row],[TOT2]]+Table13[[#This Row],[TOT3]]</f>
        <v>20</v>
      </c>
      <c r="AV47" s="1"/>
    </row>
    <row r="48" spans="1:48">
      <c r="A48" s="12"/>
      <c r="B48" s="1">
        <v>47</v>
      </c>
      <c r="C48" s="1"/>
      <c r="D48" s="1" t="s">
        <v>239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4">
        <f>Table13[[#This Row],[KM]]+Table13[[#This Row],[LM]]+Table13[[#This Row],[MM]]+Table13[[#This Row],[NM]]+Table13[[#This Row],[OM]]</f>
        <v>0</v>
      </c>
      <c r="AL48" s="1" t="s">
        <v>51</v>
      </c>
      <c r="AM48" s="1">
        <v>5</v>
      </c>
      <c r="AN48" s="1" t="s">
        <v>52</v>
      </c>
      <c r="AO48" s="1">
        <v>5</v>
      </c>
      <c r="AP48" s="1" t="s">
        <v>53</v>
      </c>
      <c r="AQ48" s="1">
        <v>5</v>
      </c>
      <c r="AR48" s="1" t="s">
        <v>54</v>
      </c>
      <c r="AS48" s="1">
        <v>5</v>
      </c>
      <c r="AT48" s="4">
        <f>Table13[[#This Row],[PM]]+Table13[[#This Row],[QM]]+Table13[[#This Row],[RM]]+Table13[[#This Row],[SM]]</f>
        <v>20</v>
      </c>
      <c r="AU48" s="5">
        <f>Table13[[#This Row],[TOT1]]+Table13[[#This Row],[TOT2]]+Table13[[#This Row],[TOT3]]</f>
        <v>20</v>
      </c>
      <c r="AV48" s="1"/>
    </row>
    <row r="49" spans="1:48">
      <c r="A49" s="12"/>
      <c r="B49" s="1">
        <v>48</v>
      </c>
      <c r="C49" s="1"/>
      <c r="D49" s="1" t="s">
        <v>240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4">
        <f>Table13[[#This Row],[KM]]+Table13[[#This Row],[LM]]+Table13[[#This Row],[MM]]+Table13[[#This Row],[NM]]+Table13[[#This Row],[OM]]</f>
        <v>0</v>
      </c>
      <c r="AL49" s="1" t="s">
        <v>51</v>
      </c>
      <c r="AM49" s="1">
        <v>5</v>
      </c>
      <c r="AN49" s="1" t="s">
        <v>52</v>
      </c>
      <c r="AO49" s="1">
        <v>5</v>
      </c>
      <c r="AP49" s="1" t="s">
        <v>53</v>
      </c>
      <c r="AQ49" s="1">
        <v>5</v>
      </c>
      <c r="AR49" s="1" t="s">
        <v>54</v>
      </c>
      <c r="AS49" s="1">
        <v>5</v>
      </c>
      <c r="AT49" s="4">
        <f>Table13[[#This Row],[PM]]+Table13[[#This Row],[QM]]+Table13[[#This Row],[RM]]+Table13[[#This Row],[SM]]</f>
        <v>20</v>
      </c>
      <c r="AU49" s="5">
        <f>Table13[[#This Row],[TOT1]]+Table13[[#This Row],[TOT2]]+Table13[[#This Row],[TOT3]]</f>
        <v>20</v>
      </c>
      <c r="AV49" s="1"/>
    </row>
    <row r="50" spans="1:48">
      <c r="A50" s="12"/>
      <c r="B50" s="1">
        <v>49</v>
      </c>
      <c r="C50" s="1"/>
      <c r="D50" s="1" t="s">
        <v>241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4">
        <f>Table13[[#This Row],[KM]]+Table13[[#This Row],[LM]]+Table13[[#This Row],[MM]]+Table13[[#This Row],[NM]]+Table13[[#This Row],[OM]]</f>
        <v>0</v>
      </c>
      <c r="AL50" s="1" t="s">
        <v>51</v>
      </c>
      <c r="AM50" s="1">
        <v>5</v>
      </c>
      <c r="AN50" s="1" t="s">
        <v>52</v>
      </c>
      <c r="AO50" s="1">
        <v>5</v>
      </c>
      <c r="AP50" s="1" t="s">
        <v>53</v>
      </c>
      <c r="AQ50" s="1">
        <v>5</v>
      </c>
      <c r="AR50" s="1" t="s">
        <v>54</v>
      </c>
      <c r="AS50" s="1">
        <v>5</v>
      </c>
      <c r="AT50" s="4">
        <f>Table13[[#This Row],[PM]]+Table13[[#This Row],[QM]]+Table13[[#This Row],[RM]]+Table13[[#This Row],[SM]]</f>
        <v>20</v>
      </c>
      <c r="AU50" s="5">
        <f>Table13[[#This Row],[TOT1]]+Table13[[#This Row],[TOT2]]+Table13[[#This Row],[TOT3]]</f>
        <v>20</v>
      </c>
      <c r="AV50" s="1"/>
    </row>
    <row r="51" spans="1:48">
      <c r="A51" s="12"/>
      <c r="B51" s="1">
        <v>50</v>
      </c>
      <c r="C51" s="1"/>
      <c r="D51" s="1" t="s">
        <v>242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4">
        <f>Table13[[#This Row],[KM]]+Table13[[#This Row],[LM]]+Table13[[#This Row],[MM]]+Table13[[#This Row],[NM]]+Table13[[#This Row],[OM]]</f>
        <v>0</v>
      </c>
      <c r="AL51" s="1" t="s">
        <v>51</v>
      </c>
      <c r="AM51" s="1">
        <v>5</v>
      </c>
      <c r="AN51" s="1" t="s">
        <v>52</v>
      </c>
      <c r="AO51" s="1">
        <v>5</v>
      </c>
      <c r="AP51" s="1" t="s">
        <v>53</v>
      </c>
      <c r="AQ51" s="1">
        <v>5</v>
      </c>
      <c r="AR51" s="1" t="s">
        <v>54</v>
      </c>
      <c r="AS51" s="1">
        <v>5</v>
      </c>
      <c r="AT51" s="4">
        <f>Table13[[#This Row],[PM]]+Table13[[#This Row],[QM]]+Table13[[#This Row],[RM]]+Table13[[#This Row],[SM]]</f>
        <v>20</v>
      </c>
      <c r="AU51" s="5">
        <f>Table13[[#This Row],[TOT1]]+Table13[[#This Row],[TOT2]]+Table13[[#This Row],[TOT3]]</f>
        <v>20</v>
      </c>
      <c r="AV51" s="1"/>
    </row>
    <row r="52" spans="1:48">
      <c r="A52" s="12"/>
      <c r="B52" s="1">
        <v>51</v>
      </c>
      <c r="C52" s="1"/>
      <c r="D52" s="1" t="s">
        <v>243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4">
        <f>Table13[[#This Row],[KM]]+Table13[[#This Row],[LM]]+Table13[[#This Row],[MM]]+Table13[[#This Row],[NM]]+Table13[[#This Row],[OM]]</f>
        <v>0</v>
      </c>
      <c r="AL52" s="1" t="s">
        <v>51</v>
      </c>
      <c r="AM52" s="1">
        <v>5</v>
      </c>
      <c r="AN52" s="1" t="s">
        <v>52</v>
      </c>
      <c r="AO52" s="1">
        <v>5</v>
      </c>
      <c r="AP52" s="1" t="s">
        <v>53</v>
      </c>
      <c r="AQ52" s="1">
        <v>5</v>
      </c>
      <c r="AR52" s="1" t="s">
        <v>54</v>
      </c>
      <c r="AS52" s="1">
        <v>5</v>
      </c>
      <c r="AT52" s="4">
        <f>Table13[[#This Row],[PM]]+Table13[[#This Row],[QM]]+Table13[[#This Row],[RM]]+Table13[[#This Row],[SM]]</f>
        <v>20</v>
      </c>
      <c r="AU52" s="5">
        <f>Table13[[#This Row],[TOT1]]+Table13[[#This Row],[TOT2]]+Table13[[#This Row],[TOT3]]</f>
        <v>20</v>
      </c>
      <c r="AV52" s="1"/>
    </row>
    <row r="53" spans="1:48">
      <c r="A53" s="12"/>
      <c r="B53" s="1">
        <v>52</v>
      </c>
      <c r="C53" s="1"/>
      <c r="D53" s="1" t="s">
        <v>244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4">
        <f>Table13[[#This Row],[KM]]+Table13[[#This Row],[LM]]+Table13[[#This Row],[MM]]+Table13[[#This Row],[NM]]+Table13[[#This Row],[OM]]</f>
        <v>0</v>
      </c>
      <c r="AL53" s="1" t="s">
        <v>51</v>
      </c>
      <c r="AM53" s="1">
        <v>5</v>
      </c>
      <c r="AN53" s="1" t="s">
        <v>52</v>
      </c>
      <c r="AO53" s="1">
        <v>5</v>
      </c>
      <c r="AP53" s="1" t="s">
        <v>53</v>
      </c>
      <c r="AQ53" s="1">
        <v>5</v>
      </c>
      <c r="AR53" s="1" t="s">
        <v>54</v>
      </c>
      <c r="AS53" s="1">
        <v>5</v>
      </c>
      <c r="AT53" s="4">
        <f>Table13[[#This Row],[PM]]+Table13[[#This Row],[QM]]+Table13[[#This Row],[RM]]+Table13[[#This Row],[SM]]</f>
        <v>20</v>
      </c>
      <c r="AU53" s="5">
        <f>Table13[[#This Row],[TOT1]]+Table13[[#This Row],[TOT2]]+Table13[[#This Row],[TOT3]]</f>
        <v>20</v>
      </c>
      <c r="AV53" s="1"/>
    </row>
    <row r="54" spans="1:48">
      <c r="A54" s="12">
        <v>1</v>
      </c>
      <c r="B54" s="1">
        <v>53</v>
      </c>
      <c r="C54" s="1" t="s">
        <v>1</v>
      </c>
      <c r="D54" s="1" t="s">
        <v>47</v>
      </c>
      <c r="E54" s="1">
        <v>0.06</v>
      </c>
      <c r="F54" s="1">
        <v>23</v>
      </c>
      <c r="G54" s="1">
        <v>10</v>
      </c>
      <c r="H54" s="1">
        <v>48</v>
      </c>
      <c r="I54" s="1">
        <v>10</v>
      </c>
      <c r="J54" s="1">
        <v>35</v>
      </c>
      <c r="K54" s="1">
        <v>10</v>
      </c>
      <c r="L54" s="1" t="s">
        <v>48</v>
      </c>
      <c r="M54" s="1">
        <v>10</v>
      </c>
      <c r="N54" s="1" t="s">
        <v>49</v>
      </c>
      <c r="O54" s="1">
        <v>10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54" s="1" t="s">
        <v>43</v>
      </c>
      <c r="AB54" s="1">
        <v>10</v>
      </c>
      <c r="AC54" s="1" t="s">
        <v>50</v>
      </c>
      <c r="AD54" s="1">
        <v>10</v>
      </c>
      <c r="AE54" s="1" t="s">
        <v>46</v>
      </c>
      <c r="AF54" s="1">
        <v>10</v>
      </c>
      <c r="AG54" s="1"/>
      <c r="AH54" s="1"/>
      <c r="AI54" s="1"/>
      <c r="AJ54" s="1"/>
      <c r="AK54" s="4">
        <f>Table13[[#This Row],[KM]]+Table13[[#This Row],[LM]]+Table13[[#This Row],[MM]]+Table13[[#This Row],[NM]]+Table13[[#This Row],[OM]]</f>
        <v>30</v>
      </c>
      <c r="AL54" s="1" t="s">
        <v>51</v>
      </c>
      <c r="AM54" s="1">
        <v>5</v>
      </c>
      <c r="AN54" s="1" t="s">
        <v>52</v>
      </c>
      <c r="AO54" s="1">
        <v>5</v>
      </c>
      <c r="AP54" s="1" t="s">
        <v>53</v>
      </c>
      <c r="AQ54" s="1">
        <v>5</v>
      </c>
      <c r="AR54" s="1" t="s">
        <v>54</v>
      </c>
      <c r="AS54" s="1">
        <v>5</v>
      </c>
      <c r="AT54" s="4">
        <f>Table13[[#This Row],[PM]]+Table13[[#This Row],[QM]]+Table13[[#This Row],[RM]]+Table13[[#This Row],[SM]]</f>
        <v>20</v>
      </c>
      <c r="AU54" s="5">
        <f>Table13[[#This Row],[TOT1]]+Table13[[#This Row],[TOT2]]+Table13[[#This Row],[TOT3]]</f>
        <v>100</v>
      </c>
      <c r="AV54" s="1"/>
    </row>
    <row r="55" spans="1:48">
      <c r="A55" s="12">
        <v>2</v>
      </c>
      <c r="B55" s="1">
        <v>54</v>
      </c>
      <c r="C55" s="1" t="s">
        <v>2</v>
      </c>
      <c r="D55" s="1" t="s">
        <v>55</v>
      </c>
      <c r="E55" s="1">
        <v>0.06</v>
      </c>
      <c r="F55" s="1">
        <v>35</v>
      </c>
      <c r="G55" s="1">
        <v>10</v>
      </c>
      <c r="H55" s="1">
        <v>48</v>
      </c>
      <c r="I55" s="1">
        <v>10</v>
      </c>
      <c r="J55" s="1">
        <v>23</v>
      </c>
      <c r="K55" s="1">
        <v>10</v>
      </c>
      <c r="L55" s="1" t="s">
        <v>48</v>
      </c>
      <c r="M55" s="1">
        <v>10</v>
      </c>
      <c r="N55" s="1" t="s">
        <v>49</v>
      </c>
      <c r="O55" s="1">
        <v>10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55" s="1" t="s">
        <v>50</v>
      </c>
      <c r="AB55" s="1">
        <v>10</v>
      </c>
      <c r="AC55" s="1" t="s">
        <v>56</v>
      </c>
      <c r="AD55" s="1">
        <v>10</v>
      </c>
      <c r="AE55" s="1" t="s">
        <v>46</v>
      </c>
      <c r="AF55" s="1">
        <v>10</v>
      </c>
      <c r="AG55" s="1"/>
      <c r="AH55" s="1"/>
      <c r="AI55" s="1"/>
      <c r="AJ55" s="1"/>
      <c r="AK55" s="4">
        <f>Table13[[#This Row],[KM]]+Table13[[#This Row],[LM]]+Table13[[#This Row],[MM]]+Table13[[#This Row],[NM]]+Table13[[#This Row],[OM]]</f>
        <v>30</v>
      </c>
      <c r="AL55" s="1" t="s">
        <v>51</v>
      </c>
      <c r="AM55" s="1">
        <v>5</v>
      </c>
      <c r="AN55" s="1" t="s">
        <v>52</v>
      </c>
      <c r="AO55" s="1">
        <v>5</v>
      </c>
      <c r="AP55" s="1" t="s">
        <v>53</v>
      </c>
      <c r="AQ55" s="1">
        <v>5</v>
      </c>
      <c r="AR55" s="1" t="s">
        <v>54</v>
      </c>
      <c r="AS55" s="1">
        <v>5</v>
      </c>
      <c r="AT55" s="4">
        <f>Table13[[#This Row],[PM]]+Table13[[#This Row],[QM]]+Table13[[#This Row],[RM]]+Table13[[#This Row],[SM]]</f>
        <v>20</v>
      </c>
      <c r="AU55" s="5">
        <f>Table13[[#This Row],[TOT1]]+Table13[[#This Row],[TOT2]]+Table13[[#This Row],[TOT3]]</f>
        <v>100</v>
      </c>
      <c r="AV55" s="1"/>
    </row>
    <row r="56" spans="1:48">
      <c r="A56" s="12">
        <v>3</v>
      </c>
      <c r="B56" s="1">
        <v>55</v>
      </c>
      <c r="C56" s="1" t="s">
        <v>3</v>
      </c>
      <c r="D56" s="1" t="s">
        <v>57</v>
      </c>
      <c r="E56" s="1">
        <v>0.06</v>
      </c>
      <c r="F56" s="1">
        <v>48</v>
      </c>
      <c r="G56" s="1">
        <v>10</v>
      </c>
      <c r="H56" s="1">
        <v>48</v>
      </c>
      <c r="I56" s="1">
        <v>10</v>
      </c>
      <c r="J56" s="1" t="s">
        <v>48</v>
      </c>
      <c r="K56" s="1">
        <v>10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30</v>
      </c>
      <c r="AA56" s="1" t="s">
        <v>43</v>
      </c>
      <c r="AB56" s="1">
        <v>10</v>
      </c>
      <c r="AC56" s="1" t="s">
        <v>58</v>
      </c>
      <c r="AD56" s="1">
        <v>20</v>
      </c>
      <c r="AE56" s="1" t="s">
        <v>59</v>
      </c>
      <c r="AF56" s="1">
        <v>20</v>
      </c>
      <c r="AG56" s="1"/>
      <c r="AH56" s="1"/>
      <c r="AI56" s="1"/>
      <c r="AJ56" s="1"/>
      <c r="AK56" s="4">
        <f>Table13[[#This Row],[KM]]+Table13[[#This Row],[LM]]+Table13[[#This Row],[MM]]+Table13[[#This Row],[NM]]+Table13[[#This Row],[OM]]</f>
        <v>50</v>
      </c>
      <c r="AL56" s="1" t="s">
        <v>51</v>
      </c>
      <c r="AM56" s="1">
        <v>5</v>
      </c>
      <c r="AN56" s="1" t="s">
        <v>52</v>
      </c>
      <c r="AO56" s="1">
        <v>5</v>
      </c>
      <c r="AP56" s="1" t="s">
        <v>53</v>
      </c>
      <c r="AQ56" s="1">
        <v>5</v>
      </c>
      <c r="AR56" s="1" t="s">
        <v>54</v>
      </c>
      <c r="AS56" s="1">
        <v>5</v>
      </c>
      <c r="AT56" s="4">
        <f>Table13[[#This Row],[PM]]+Table13[[#This Row],[QM]]+Table13[[#This Row],[RM]]+Table13[[#This Row],[SM]]</f>
        <v>20</v>
      </c>
      <c r="AU56" s="5">
        <f>Table13[[#This Row],[TOT1]]+Table13[[#This Row],[TOT2]]+Table13[[#This Row],[TOT3]]</f>
        <v>100</v>
      </c>
      <c r="AV56" s="1"/>
    </row>
    <row r="57" spans="1:48">
      <c r="A57" s="12">
        <v>4</v>
      </c>
      <c r="B57" s="1">
        <v>56</v>
      </c>
      <c r="C57" s="1" t="s">
        <v>4</v>
      </c>
      <c r="D57" s="1" t="s">
        <v>60</v>
      </c>
      <c r="E57" s="1">
        <v>0.06</v>
      </c>
      <c r="F57" s="1" t="s">
        <v>61</v>
      </c>
      <c r="G57" s="1">
        <v>10</v>
      </c>
      <c r="H57" s="1">
        <v>48</v>
      </c>
      <c r="I57" s="1">
        <v>10</v>
      </c>
      <c r="J57" s="1">
        <v>48</v>
      </c>
      <c r="K57" s="1">
        <v>10</v>
      </c>
      <c r="L57" s="1" t="s">
        <v>48</v>
      </c>
      <c r="M57" s="1">
        <v>10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40</v>
      </c>
      <c r="AA57" s="1" t="s">
        <v>4</v>
      </c>
      <c r="AB57" s="1">
        <v>10</v>
      </c>
      <c r="AC57" s="1" t="s">
        <v>62</v>
      </c>
      <c r="AD57" s="1">
        <v>20</v>
      </c>
      <c r="AE57" s="1" t="s">
        <v>46</v>
      </c>
      <c r="AF57" s="1">
        <v>10</v>
      </c>
      <c r="AG57" s="1"/>
      <c r="AH57" s="1"/>
      <c r="AI57" s="1"/>
      <c r="AJ57" s="1"/>
      <c r="AK57" s="4">
        <f>Table13[[#This Row],[KM]]+Table13[[#This Row],[LM]]+Table13[[#This Row],[MM]]+Table13[[#This Row],[NM]]+Table13[[#This Row],[OM]]</f>
        <v>40</v>
      </c>
      <c r="AL57" s="1" t="s">
        <v>51</v>
      </c>
      <c r="AM57" s="1">
        <v>5</v>
      </c>
      <c r="AN57" s="1" t="s">
        <v>52</v>
      </c>
      <c r="AO57" s="1">
        <v>5</v>
      </c>
      <c r="AP57" s="1" t="s">
        <v>53</v>
      </c>
      <c r="AQ57" s="1">
        <v>5</v>
      </c>
      <c r="AR57" s="1" t="s">
        <v>54</v>
      </c>
      <c r="AS57" s="1">
        <v>5</v>
      </c>
      <c r="AT57" s="4">
        <f>Table13[[#This Row],[PM]]+Table13[[#This Row],[QM]]+Table13[[#This Row],[RM]]+Table13[[#This Row],[SM]]</f>
        <v>20</v>
      </c>
      <c r="AU57" s="5">
        <f>Table13[[#This Row],[TOT1]]+Table13[[#This Row],[TOT2]]+Table13[[#This Row],[TOT3]]</f>
        <v>100</v>
      </c>
      <c r="AV57" s="1"/>
    </row>
    <row r="58" spans="1:48">
      <c r="A58" s="12">
        <v>5</v>
      </c>
      <c r="B58" s="1">
        <v>57</v>
      </c>
      <c r="C58" s="1" t="s">
        <v>5</v>
      </c>
      <c r="D58" s="1" t="s">
        <v>63</v>
      </c>
      <c r="E58" s="1">
        <v>0.06</v>
      </c>
      <c r="F58" s="1" t="s">
        <v>61</v>
      </c>
      <c r="G58" s="1">
        <v>20</v>
      </c>
      <c r="H58" s="1" t="s">
        <v>48</v>
      </c>
      <c r="I58" s="1">
        <v>10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30</v>
      </c>
      <c r="AA58" s="1" t="s">
        <v>45</v>
      </c>
      <c r="AB58" s="1">
        <v>10</v>
      </c>
      <c r="AC58" s="1" t="s">
        <v>50</v>
      </c>
      <c r="AD58" s="1">
        <v>20</v>
      </c>
      <c r="AE58" s="1" t="s">
        <v>56</v>
      </c>
      <c r="AF58" s="1">
        <v>10</v>
      </c>
      <c r="AG58" s="1" t="s">
        <v>46</v>
      </c>
      <c r="AH58" s="1">
        <v>10</v>
      </c>
      <c r="AI58" s="1"/>
      <c r="AJ58" s="1"/>
      <c r="AK58" s="4">
        <f>Table13[[#This Row],[KM]]+Table13[[#This Row],[LM]]+Table13[[#This Row],[MM]]+Table13[[#This Row],[NM]]+Table13[[#This Row],[OM]]</f>
        <v>50</v>
      </c>
      <c r="AL58" s="1" t="s">
        <v>51</v>
      </c>
      <c r="AM58" s="1">
        <v>5</v>
      </c>
      <c r="AN58" s="1" t="s">
        <v>52</v>
      </c>
      <c r="AO58" s="1">
        <v>5</v>
      </c>
      <c r="AP58" s="1" t="s">
        <v>53</v>
      </c>
      <c r="AQ58" s="1">
        <v>5</v>
      </c>
      <c r="AR58" s="1" t="s">
        <v>54</v>
      </c>
      <c r="AS58" s="1">
        <v>5</v>
      </c>
      <c r="AT58" s="4">
        <f>Table13[[#This Row],[PM]]+Table13[[#This Row],[QM]]+Table13[[#This Row],[RM]]+Table13[[#This Row],[SM]]</f>
        <v>20</v>
      </c>
      <c r="AU58" s="5">
        <f>Table13[[#This Row],[TOT1]]+Table13[[#This Row],[TOT2]]+Table13[[#This Row],[TOT3]]</f>
        <v>100</v>
      </c>
      <c r="AV58" s="1"/>
    </row>
    <row r="59" spans="1:48">
      <c r="A59" s="12">
        <v>6</v>
      </c>
      <c r="B59" s="1">
        <v>58</v>
      </c>
      <c r="C59" s="1" t="s">
        <v>6</v>
      </c>
      <c r="D59" s="1" t="s">
        <v>64</v>
      </c>
      <c r="E59" s="1">
        <v>0.06</v>
      </c>
      <c r="F59" s="1">
        <v>20</v>
      </c>
      <c r="G59" s="1">
        <v>10</v>
      </c>
      <c r="H59" s="1">
        <v>12</v>
      </c>
      <c r="I59" s="1">
        <v>10</v>
      </c>
      <c r="J59" s="1">
        <v>20</v>
      </c>
      <c r="K59" s="1">
        <v>10</v>
      </c>
      <c r="L59" s="1">
        <v>34</v>
      </c>
      <c r="M59" s="1">
        <v>10</v>
      </c>
      <c r="N59" s="1" t="s">
        <v>48</v>
      </c>
      <c r="O59" s="1">
        <v>10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59" s="1" t="s">
        <v>43</v>
      </c>
      <c r="AB59" s="1">
        <v>10</v>
      </c>
      <c r="AC59" s="1" t="s">
        <v>44</v>
      </c>
      <c r="AD59" s="1">
        <v>10</v>
      </c>
      <c r="AE59" s="1" t="s">
        <v>65</v>
      </c>
      <c r="AF59" s="1">
        <v>10</v>
      </c>
      <c r="AG59" s="1"/>
      <c r="AH59" s="1"/>
      <c r="AI59" s="1"/>
      <c r="AJ59" s="1"/>
      <c r="AK59" s="4">
        <f>Table13[[#This Row],[KM]]+Table13[[#This Row],[LM]]+Table13[[#This Row],[MM]]+Table13[[#This Row],[NM]]+Table13[[#This Row],[OM]]</f>
        <v>30</v>
      </c>
      <c r="AL59" s="1" t="s">
        <v>51</v>
      </c>
      <c r="AM59" s="1">
        <v>5</v>
      </c>
      <c r="AN59" s="1" t="s">
        <v>52</v>
      </c>
      <c r="AO59" s="1">
        <v>5</v>
      </c>
      <c r="AP59" s="1" t="s">
        <v>53</v>
      </c>
      <c r="AQ59" s="1">
        <v>5</v>
      </c>
      <c r="AR59" s="1" t="s">
        <v>54</v>
      </c>
      <c r="AS59" s="1">
        <v>5</v>
      </c>
      <c r="AT59" s="4">
        <f>Table13[[#This Row],[PM]]+Table13[[#This Row],[QM]]+Table13[[#This Row],[RM]]+Table13[[#This Row],[SM]]</f>
        <v>20</v>
      </c>
      <c r="AU59" s="5">
        <f>Table13[[#This Row],[TOT1]]+Table13[[#This Row],[TOT2]]+Table13[[#This Row],[TOT3]]</f>
        <v>100</v>
      </c>
      <c r="AV59" s="1"/>
    </row>
    <row r="60" spans="1:48">
      <c r="A60" s="12">
        <v>7</v>
      </c>
      <c r="B60" s="1">
        <v>59</v>
      </c>
      <c r="C60" s="1" t="s">
        <v>7</v>
      </c>
      <c r="D60" s="1" t="s">
        <v>66</v>
      </c>
      <c r="E60" s="1">
        <v>0.06</v>
      </c>
      <c r="F60" s="1">
        <v>7</v>
      </c>
      <c r="G60" s="1">
        <v>10</v>
      </c>
      <c r="H60" s="1">
        <v>20</v>
      </c>
      <c r="I60" s="1">
        <v>10</v>
      </c>
      <c r="J60" s="1">
        <v>12</v>
      </c>
      <c r="K60" s="1">
        <v>10</v>
      </c>
      <c r="L60" s="1">
        <v>20</v>
      </c>
      <c r="M60" s="1">
        <v>10</v>
      </c>
      <c r="N60" s="1">
        <v>34</v>
      </c>
      <c r="O60" s="1">
        <v>10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60" s="1" t="s">
        <v>44</v>
      </c>
      <c r="AB60" s="1">
        <v>10</v>
      </c>
      <c r="AC60" s="1" t="s">
        <v>56</v>
      </c>
      <c r="AD60" s="1">
        <v>10</v>
      </c>
      <c r="AE60" s="1" t="s">
        <v>46</v>
      </c>
      <c r="AF60" s="1">
        <v>10</v>
      </c>
      <c r="AG60" s="1"/>
      <c r="AH60" s="1"/>
      <c r="AI60" s="1"/>
      <c r="AJ60" s="1"/>
      <c r="AK60" s="4">
        <f>Table13[[#This Row],[KM]]+Table13[[#This Row],[LM]]+Table13[[#This Row],[MM]]+Table13[[#This Row],[NM]]+Table13[[#This Row],[OM]]</f>
        <v>30</v>
      </c>
      <c r="AL60" s="1" t="s">
        <v>51</v>
      </c>
      <c r="AM60" s="1">
        <v>5</v>
      </c>
      <c r="AN60" s="1" t="s">
        <v>52</v>
      </c>
      <c r="AO60" s="1">
        <v>5</v>
      </c>
      <c r="AP60" s="1" t="s">
        <v>53</v>
      </c>
      <c r="AQ60" s="1">
        <v>5</v>
      </c>
      <c r="AR60" s="1" t="s">
        <v>54</v>
      </c>
      <c r="AS60" s="1">
        <v>5</v>
      </c>
      <c r="AT60" s="4">
        <f>Table13[[#This Row],[PM]]+Table13[[#This Row],[QM]]+Table13[[#This Row],[RM]]+Table13[[#This Row],[SM]]</f>
        <v>20</v>
      </c>
      <c r="AU60" s="5">
        <f>Table13[[#This Row],[TOT1]]+Table13[[#This Row],[TOT2]]+Table13[[#This Row],[TOT3]]</f>
        <v>100</v>
      </c>
      <c r="AV60" s="1"/>
    </row>
    <row r="61" spans="1:48">
      <c r="A61" s="12">
        <v>8</v>
      </c>
      <c r="B61" s="1">
        <v>60</v>
      </c>
      <c r="C61" s="2" t="s">
        <v>8</v>
      </c>
      <c r="D61" s="1" t="s">
        <v>67</v>
      </c>
      <c r="E61" s="1">
        <v>0.06</v>
      </c>
      <c r="F61" s="1">
        <v>7</v>
      </c>
      <c r="G61" s="1">
        <v>10</v>
      </c>
      <c r="H61" s="1">
        <v>28</v>
      </c>
      <c r="I61" s="1">
        <v>10</v>
      </c>
      <c r="J61" s="1">
        <v>7</v>
      </c>
      <c r="K61" s="1">
        <v>10</v>
      </c>
      <c r="L61" s="1">
        <v>56</v>
      </c>
      <c r="M61" s="1">
        <v>10</v>
      </c>
      <c r="N61" s="1" t="s">
        <v>48</v>
      </c>
      <c r="O61" s="1">
        <v>10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61" s="1" t="s">
        <v>43</v>
      </c>
      <c r="AB61" s="1">
        <v>10</v>
      </c>
      <c r="AC61" s="1" t="s">
        <v>44</v>
      </c>
      <c r="AD61" s="1">
        <v>10</v>
      </c>
      <c r="AE61" s="1" t="s">
        <v>65</v>
      </c>
      <c r="AF61" s="1">
        <v>10</v>
      </c>
      <c r="AG61" s="1"/>
      <c r="AH61" s="1"/>
      <c r="AI61" s="1"/>
      <c r="AJ61" s="1"/>
      <c r="AK61" s="4">
        <f>Table13[[#This Row],[KM]]+Table13[[#This Row],[LM]]+Table13[[#This Row],[MM]]+Table13[[#This Row],[NM]]+Table13[[#This Row],[OM]]</f>
        <v>30</v>
      </c>
      <c r="AL61" s="1" t="s">
        <v>51</v>
      </c>
      <c r="AM61" s="1">
        <v>5</v>
      </c>
      <c r="AN61" s="1" t="s">
        <v>52</v>
      </c>
      <c r="AO61" s="1">
        <v>5</v>
      </c>
      <c r="AP61" s="1" t="s">
        <v>53</v>
      </c>
      <c r="AQ61" s="1">
        <v>5</v>
      </c>
      <c r="AR61" s="1" t="s">
        <v>54</v>
      </c>
      <c r="AS61" s="1">
        <v>5</v>
      </c>
      <c r="AT61" s="4">
        <f>Table13[[#This Row],[PM]]+Table13[[#This Row],[QM]]+Table13[[#This Row],[RM]]+Table13[[#This Row],[SM]]</f>
        <v>20</v>
      </c>
      <c r="AU61" s="5">
        <f>Table13[[#This Row],[TOT1]]+Table13[[#This Row],[TOT2]]+Table13[[#This Row],[TOT3]]</f>
        <v>100</v>
      </c>
      <c r="AV61" s="1"/>
    </row>
    <row r="62" spans="1:48">
      <c r="A62" s="12">
        <v>9</v>
      </c>
      <c r="B62" s="1">
        <v>61</v>
      </c>
      <c r="C62" s="2" t="s">
        <v>9</v>
      </c>
      <c r="D62" s="1" t="s">
        <v>68</v>
      </c>
      <c r="E62" s="1">
        <v>0.06</v>
      </c>
      <c r="F62" s="1">
        <v>14</v>
      </c>
      <c r="G62" s="1">
        <v>10</v>
      </c>
      <c r="H62" s="1">
        <v>56</v>
      </c>
      <c r="I62" s="1">
        <v>10</v>
      </c>
      <c r="J62" s="1">
        <v>14</v>
      </c>
      <c r="K62" s="1">
        <v>10</v>
      </c>
      <c r="L62" s="1">
        <v>56</v>
      </c>
      <c r="M62" s="1">
        <v>10</v>
      </c>
      <c r="N62" s="1" t="s">
        <v>48</v>
      </c>
      <c r="O62" s="1">
        <v>10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62" s="1" t="s">
        <v>45</v>
      </c>
      <c r="AB62" s="1">
        <v>10</v>
      </c>
      <c r="AC62" s="1" t="s">
        <v>56</v>
      </c>
      <c r="AD62" s="1">
        <v>10</v>
      </c>
      <c r="AE62" s="1" t="s">
        <v>46</v>
      </c>
      <c r="AF62" s="1">
        <v>10</v>
      </c>
      <c r="AG62" s="1"/>
      <c r="AH62" s="1"/>
      <c r="AI62" s="1"/>
      <c r="AJ62" s="1"/>
      <c r="AK62" s="4">
        <f>Table13[[#This Row],[KM]]+Table13[[#This Row],[LM]]+Table13[[#This Row],[MM]]+Table13[[#This Row],[NM]]+Table13[[#This Row],[OM]]</f>
        <v>30</v>
      </c>
      <c r="AL62" s="1" t="s">
        <v>51</v>
      </c>
      <c r="AM62" s="1">
        <v>5</v>
      </c>
      <c r="AN62" s="1" t="s">
        <v>52</v>
      </c>
      <c r="AO62" s="1">
        <v>5</v>
      </c>
      <c r="AP62" s="1" t="s">
        <v>53</v>
      </c>
      <c r="AQ62" s="1">
        <v>5</v>
      </c>
      <c r="AR62" s="1" t="s">
        <v>54</v>
      </c>
      <c r="AS62" s="1">
        <v>5</v>
      </c>
      <c r="AT62" s="4">
        <f>Table13[[#This Row],[PM]]+Table13[[#This Row],[QM]]+Table13[[#This Row],[RM]]+Table13[[#This Row],[SM]]</f>
        <v>20</v>
      </c>
      <c r="AU62" s="5">
        <f>Table13[[#This Row],[TOT1]]+Table13[[#This Row],[TOT2]]+Table13[[#This Row],[TOT3]]</f>
        <v>100</v>
      </c>
      <c r="AV62" s="1"/>
    </row>
    <row r="63" spans="1:48">
      <c r="A63" s="12">
        <v>10</v>
      </c>
      <c r="B63" s="1">
        <v>62</v>
      </c>
      <c r="C63" s="1" t="s">
        <v>10</v>
      </c>
      <c r="D63" s="1" t="s">
        <v>69</v>
      </c>
      <c r="E63" s="1">
        <v>0.06</v>
      </c>
      <c r="F63" s="1">
        <v>14</v>
      </c>
      <c r="G63" s="1">
        <v>10</v>
      </c>
      <c r="H63" s="1">
        <v>22</v>
      </c>
      <c r="I63" s="1">
        <v>10</v>
      </c>
      <c r="J63" s="1">
        <v>14</v>
      </c>
      <c r="K63" s="1">
        <v>10</v>
      </c>
      <c r="L63" s="1">
        <v>10</v>
      </c>
      <c r="M63" s="1">
        <v>10</v>
      </c>
      <c r="N63" s="1">
        <v>22</v>
      </c>
      <c r="O63" s="1">
        <v>10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63" s="1" t="s">
        <v>43</v>
      </c>
      <c r="AB63" s="1">
        <v>10</v>
      </c>
      <c r="AC63" s="1" t="s">
        <v>44</v>
      </c>
      <c r="AD63" s="1">
        <v>10</v>
      </c>
      <c r="AE63" s="1" t="s">
        <v>65</v>
      </c>
      <c r="AF63" s="1">
        <v>10</v>
      </c>
      <c r="AG63" s="1"/>
      <c r="AH63" s="1"/>
      <c r="AI63" s="1"/>
      <c r="AJ63" s="1"/>
      <c r="AK63" s="4">
        <f>Table13[[#This Row],[KM]]+Table13[[#This Row],[LM]]+Table13[[#This Row],[MM]]+Table13[[#This Row],[NM]]+Table13[[#This Row],[OM]]</f>
        <v>30</v>
      </c>
      <c r="AL63" s="1" t="s">
        <v>51</v>
      </c>
      <c r="AM63" s="1">
        <v>5</v>
      </c>
      <c r="AN63" s="1" t="s">
        <v>52</v>
      </c>
      <c r="AO63" s="1">
        <v>5</v>
      </c>
      <c r="AP63" s="1" t="s">
        <v>53</v>
      </c>
      <c r="AQ63" s="1">
        <v>5</v>
      </c>
      <c r="AR63" s="1" t="s">
        <v>54</v>
      </c>
      <c r="AS63" s="1">
        <v>5</v>
      </c>
      <c r="AT63" s="4">
        <f>Table13[[#This Row],[PM]]+Table13[[#This Row],[QM]]+Table13[[#This Row],[RM]]+Table13[[#This Row],[SM]]</f>
        <v>20</v>
      </c>
      <c r="AU63" s="5">
        <f>Table13[[#This Row],[TOT1]]+Table13[[#This Row],[TOT2]]+Table13[[#This Row],[TOT3]]</f>
        <v>100</v>
      </c>
      <c r="AV63" s="1"/>
    </row>
    <row r="64" spans="1:48">
      <c r="A64" s="12">
        <v>11</v>
      </c>
      <c r="B64" s="1">
        <v>63</v>
      </c>
      <c r="C64" s="1" t="s">
        <v>11</v>
      </c>
      <c r="D64" s="1" t="s">
        <v>70</v>
      </c>
      <c r="E64" s="1">
        <v>0.06</v>
      </c>
      <c r="F64" s="1">
        <v>22</v>
      </c>
      <c r="G64" s="1">
        <v>20</v>
      </c>
      <c r="H64" s="1">
        <v>21</v>
      </c>
      <c r="I64" s="1">
        <v>20</v>
      </c>
      <c r="J64" s="1" t="s">
        <v>48</v>
      </c>
      <c r="K64" s="1">
        <v>10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64" s="1" t="s">
        <v>43</v>
      </c>
      <c r="AB64" s="1">
        <v>10</v>
      </c>
      <c r="AC64" s="1" t="s">
        <v>50</v>
      </c>
      <c r="AD64" s="1">
        <v>10</v>
      </c>
      <c r="AE64" s="1" t="s">
        <v>46</v>
      </c>
      <c r="AF64" s="1">
        <v>10</v>
      </c>
      <c r="AG64" s="1"/>
      <c r="AH64" s="1"/>
      <c r="AI64" s="1"/>
      <c r="AJ64" s="1"/>
      <c r="AK64" s="4">
        <f>Table13[[#This Row],[KM]]+Table13[[#This Row],[LM]]+Table13[[#This Row],[MM]]+Table13[[#This Row],[NM]]+Table13[[#This Row],[OM]]</f>
        <v>30</v>
      </c>
      <c r="AL64" s="1" t="s">
        <v>51</v>
      </c>
      <c r="AM64" s="1">
        <v>5</v>
      </c>
      <c r="AN64" s="1" t="s">
        <v>52</v>
      </c>
      <c r="AO64" s="1">
        <v>5</v>
      </c>
      <c r="AP64" s="1" t="s">
        <v>53</v>
      </c>
      <c r="AQ64" s="1">
        <v>5</v>
      </c>
      <c r="AR64" s="1" t="s">
        <v>54</v>
      </c>
      <c r="AS64" s="1">
        <v>5</v>
      </c>
      <c r="AT64" s="4">
        <f>Table13[[#This Row],[PM]]+Table13[[#This Row],[QM]]+Table13[[#This Row],[RM]]+Table13[[#This Row],[SM]]</f>
        <v>20</v>
      </c>
      <c r="AU64" s="5">
        <f>Table13[[#This Row],[TOT1]]+Table13[[#This Row],[TOT2]]+Table13[[#This Row],[TOT3]]</f>
        <v>100</v>
      </c>
      <c r="AV64" s="1"/>
    </row>
    <row r="65" spans="1:48">
      <c r="A65" s="12">
        <v>12</v>
      </c>
      <c r="B65" s="1">
        <v>64</v>
      </c>
      <c r="C65" s="1" t="s">
        <v>12</v>
      </c>
      <c r="D65" s="1" t="s">
        <v>71</v>
      </c>
      <c r="E65" s="1">
        <v>0.06</v>
      </c>
      <c r="F65" s="1">
        <v>14</v>
      </c>
      <c r="G65" s="1">
        <v>10</v>
      </c>
      <c r="H65" s="1">
        <v>14</v>
      </c>
      <c r="I65" s="1">
        <v>10</v>
      </c>
      <c r="J65" s="1">
        <v>52</v>
      </c>
      <c r="K65" s="1">
        <v>10</v>
      </c>
      <c r="L65" s="1">
        <v>48</v>
      </c>
      <c r="M65" s="1">
        <v>10</v>
      </c>
      <c r="N65" s="1" t="s">
        <v>48</v>
      </c>
      <c r="O65" s="1">
        <v>10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65" s="1" t="s">
        <v>43</v>
      </c>
      <c r="AB65" s="1">
        <v>10</v>
      </c>
      <c r="AC65" s="1" t="s">
        <v>50</v>
      </c>
      <c r="AD65" s="1">
        <v>10</v>
      </c>
      <c r="AE65" s="1" t="s">
        <v>72</v>
      </c>
      <c r="AF65" s="1">
        <v>10</v>
      </c>
      <c r="AG65" s="1"/>
      <c r="AH65" s="1"/>
      <c r="AI65" s="1"/>
      <c r="AJ65" s="1"/>
      <c r="AK65" s="4">
        <f>Table13[[#This Row],[KM]]+Table13[[#This Row],[LM]]+Table13[[#This Row],[MM]]+Table13[[#This Row],[NM]]+Table13[[#This Row],[OM]]</f>
        <v>30</v>
      </c>
      <c r="AL65" s="1" t="s">
        <v>51</v>
      </c>
      <c r="AM65" s="1">
        <v>5</v>
      </c>
      <c r="AN65" s="1" t="s">
        <v>52</v>
      </c>
      <c r="AO65" s="1">
        <v>5</v>
      </c>
      <c r="AP65" s="1" t="s">
        <v>53</v>
      </c>
      <c r="AQ65" s="1">
        <v>5</v>
      </c>
      <c r="AR65" s="1" t="s">
        <v>54</v>
      </c>
      <c r="AS65" s="1">
        <v>5</v>
      </c>
      <c r="AT65" s="4">
        <f>Table13[[#This Row],[PM]]+Table13[[#This Row],[QM]]+Table13[[#This Row],[RM]]+Table13[[#This Row],[SM]]</f>
        <v>20</v>
      </c>
      <c r="AU65" s="5">
        <f>Table13[[#This Row],[TOT1]]+Table13[[#This Row],[TOT2]]+Table13[[#This Row],[TOT3]]</f>
        <v>100</v>
      </c>
      <c r="AV65" s="1"/>
    </row>
    <row r="66" spans="1:48">
      <c r="A66" s="12">
        <v>13</v>
      </c>
      <c r="B66" s="1">
        <v>65</v>
      </c>
      <c r="C66" s="1" t="s">
        <v>13</v>
      </c>
      <c r="D66" s="1" t="s">
        <v>73</v>
      </c>
      <c r="E66" s="1">
        <v>0.06</v>
      </c>
      <c r="F66" s="1">
        <v>14</v>
      </c>
      <c r="G66" s="1">
        <v>10</v>
      </c>
      <c r="H66" s="1">
        <v>14</v>
      </c>
      <c r="I66" s="1">
        <v>10</v>
      </c>
      <c r="J66" s="1">
        <v>10</v>
      </c>
      <c r="K66" s="1">
        <v>10</v>
      </c>
      <c r="L66" s="1">
        <v>24</v>
      </c>
      <c r="M66" s="1">
        <v>10</v>
      </c>
      <c r="N66" s="1">
        <v>52</v>
      </c>
      <c r="O66" s="1">
        <v>10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66" s="1" t="s">
        <v>43</v>
      </c>
      <c r="AB66" s="1">
        <v>10</v>
      </c>
      <c r="AC66" s="1" t="s">
        <v>50</v>
      </c>
      <c r="AD66" s="1">
        <v>10</v>
      </c>
      <c r="AE66" s="1" t="s">
        <v>46</v>
      </c>
      <c r="AF66" s="1">
        <v>10</v>
      </c>
      <c r="AG66" s="1"/>
      <c r="AH66" s="1"/>
      <c r="AI66" s="1"/>
      <c r="AJ66" s="1"/>
      <c r="AK66" s="4">
        <f>Table13[[#This Row],[KM]]+Table13[[#This Row],[LM]]+Table13[[#This Row],[MM]]+Table13[[#This Row],[NM]]+Table13[[#This Row],[OM]]</f>
        <v>30</v>
      </c>
      <c r="AL66" s="1" t="s">
        <v>51</v>
      </c>
      <c r="AM66" s="1">
        <v>5</v>
      </c>
      <c r="AN66" s="1" t="s">
        <v>52</v>
      </c>
      <c r="AO66" s="1">
        <v>5</v>
      </c>
      <c r="AP66" s="1" t="s">
        <v>53</v>
      </c>
      <c r="AQ66" s="1">
        <v>5</v>
      </c>
      <c r="AR66" s="1" t="s">
        <v>54</v>
      </c>
      <c r="AS66" s="1">
        <v>5</v>
      </c>
      <c r="AT66" s="4">
        <f>Table13[[#This Row],[PM]]+Table13[[#This Row],[QM]]+Table13[[#This Row],[RM]]+Table13[[#This Row],[SM]]</f>
        <v>20</v>
      </c>
      <c r="AU66" s="5">
        <f>Table13[[#This Row],[TOT1]]+Table13[[#This Row],[TOT2]]+Table13[[#This Row],[TOT3]]</f>
        <v>100</v>
      </c>
      <c r="AV66" s="1"/>
    </row>
    <row r="67" spans="1:48">
      <c r="A67" s="12">
        <v>14</v>
      </c>
      <c r="B67" s="1">
        <v>66</v>
      </c>
      <c r="C67" s="1" t="s">
        <v>14</v>
      </c>
      <c r="D67" s="1" t="s">
        <v>74</v>
      </c>
      <c r="E67" s="1">
        <v>0.06</v>
      </c>
      <c r="F67" s="1">
        <v>10</v>
      </c>
      <c r="G67" s="1">
        <v>10</v>
      </c>
      <c r="H67" s="1">
        <v>9</v>
      </c>
      <c r="I67" s="1">
        <v>10</v>
      </c>
      <c r="J67" s="1">
        <v>30</v>
      </c>
      <c r="K67" s="1">
        <v>10</v>
      </c>
      <c r="L67" s="1">
        <v>50</v>
      </c>
      <c r="M67" s="1">
        <v>10</v>
      </c>
      <c r="N67" s="1">
        <v>39</v>
      </c>
      <c r="O67" s="1">
        <v>10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67" s="1" t="s">
        <v>43</v>
      </c>
      <c r="AB67" s="1">
        <v>10</v>
      </c>
      <c r="AC67" s="1" t="s">
        <v>50</v>
      </c>
      <c r="AD67" s="1">
        <v>10</v>
      </c>
      <c r="AE67" s="1" t="s">
        <v>46</v>
      </c>
      <c r="AF67" s="1">
        <v>10</v>
      </c>
      <c r="AG67" s="1"/>
      <c r="AH67" s="1"/>
      <c r="AI67" s="1"/>
      <c r="AJ67" s="1"/>
      <c r="AK67" s="4">
        <f>Table13[[#This Row],[KM]]+Table13[[#This Row],[LM]]+Table13[[#This Row],[MM]]+Table13[[#This Row],[NM]]+Table13[[#This Row],[OM]]</f>
        <v>30</v>
      </c>
      <c r="AL67" s="1" t="s">
        <v>51</v>
      </c>
      <c r="AM67" s="1">
        <v>5</v>
      </c>
      <c r="AN67" s="1" t="s">
        <v>52</v>
      </c>
      <c r="AO67" s="1">
        <v>5</v>
      </c>
      <c r="AP67" s="1" t="s">
        <v>53</v>
      </c>
      <c r="AQ67" s="1">
        <v>5</v>
      </c>
      <c r="AR67" s="1" t="s">
        <v>54</v>
      </c>
      <c r="AS67" s="1">
        <v>5</v>
      </c>
      <c r="AT67" s="4">
        <f>Table13[[#This Row],[PM]]+Table13[[#This Row],[QM]]+Table13[[#This Row],[RM]]+Table13[[#This Row],[SM]]</f>
        <v>20</v>
      </c>
      <c r="AU67" s="5">
        <f>Table13[[#This Row],[TOT1]]+Table13[[#This Row],[TOT2]]+Table13[[#This Row],[TOT3]]</f>
        <v>100</v>
      </c>
      <c r="AV67" s="1"/>
    </row>
    <row r="68" spans="1:48">
      <c r="A68" s="12">
        <v>15</v>
      </c>
      <c r="B68" s="1">
        <v>67</v>
      </c>
      <c r="C68" s="1" t="s">
        <v>15</v>
      </c>
      <c r="D68" s="1" t="s">
        <v>75</v>
      </c>
      <c r="E68" s="1">
        <v>0.06</v>
      </c>
      <c r="F68" s="1">
        <v>50</v>
      </c>
      <c r="G68" s="1">
        <v>10</v>
      </c>
      <c r="H68" s="1">
        <v>21</v>
      </c>
      <c r="I68" s="1">
        <v>10</v>
      </c>
      <c r="J68" s="1">
        <v>9</v>
      </c>
      <c r="K68" s="1">
        <v>10</v>
      </c>
      <c r="L68" s="1">
        <v>10</v>
      </c>
      <c r="M68" s="1">
        <v>10</v>
      </c>
      <c r="N68" s="1">
        <v>7.5</v>
      </c>
      <c r="O68" s="1">
        <v>10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68" s="1" t="s">
        <v>43</v>
      </c>
      <c r="AB68" s="1">
        <v>10</v>
      </c>
      <c r="AC68" s="1" t="s">
        <v>50</v>
      </c>
      <c r="AD68" s="1">
        <v>10</v>
      </c>
      <c r="AE68" s="1" t="s">
        <v>46</v>
      </c>
      <c r="AF68" s="1">
        <v>10</v>
      </c>
      <c r="AG68" s="1"/>
      <c r="AH68" s="1"/>
      <c r="AI68" s="1"/>
      <c r="AJ68" s="1"/>
      <c r="AK68" s="4">
        <f>Table13[[#This Row],[KM]]+Table13[[#This Row],[LM]]+Table13[[#This Row],[MM]]+Table13[[#This Row],[NM]]+Table13[[#This Row],[OM]]</f>
        <v>30</v>
      </c>
      <c r="AL68" s="1" t="s">
        <v>51</v>
      </c>
      <c r="AM68" s="1">
        <v>5</v>
      </c>
      <c r="AN68" s="1" t="s">
        <v>52</v>
      </c>
      <c r="AO68" s="1">
        <v>5</v>
      </c>
      <c r="AP68" s="1" t="s">
        <v>53</v>
      </c>
      <c r="AQ68" s="1">
        <v>5</v>
      </c>
      <c r="AR68" s="1" t="s">
        <v>54</v>
      </c>
      <c r="AS68" s="1">
        <v>5</v>
      </c>
      <c r="AT68" s="4">
        <f>Table13[[#This Row],[PM]]+Table13[[#This Row],[QM]]+Table13[[#This Row],[RM]]+Table13[[#This Row],[SM]]</f>
        <v>20</v>
      </c>
      <c r="AU68" s="5">
        <f>Table13[[#This Row],[TOT1]]+Table13[[#This Row],[TOT2]]+Table13[[#This Row],[TOT3]]</f>
        <v>100</v>
      </c>
      <c r="AV68" s="1"/>
    </row>
    <row r="69" spans="1:48">
      <c r="A69" s="12">
        <v>16</v>
      </c>
      <c r="B69" s="1">
        <v>68</v>
      </c>
      <c r="C69" s="1" t="s">
        <v>16</v>
      </c>
      <c r="D69" s="1" t="s">
        <v>76</v>
      </c>
      <c r="E69" s="1">
        <v>0.06</v>
      </c>
      <c r="F69" s="1">
        <v>10</v>
      </c>
      <c r="G69" s="1">
        <v>10</v>
      </c>
      <c r="H69" s="1">
        <v>9</v>
      </c>
      <c r="I69" s="1">
        <v>10</v>
      </c>
      <c r="J69" s="1">
        <v>7.5</v>
      </c>
      <c r="K69" s="1">
        <v>10</v>
      </c>
      <c r="L69" s="1">
        <v>39</v>
      </c>
      <c r="M69" s="1">
        <v>10</v>
      </c>
      <c r="N69" s="1">
        <v>50</v>
      </c>
      <c r="O69" s="1">
        <v>10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69" s="1" t="s">
        <v>43</v>
      </c>
      <c r="AB69" s="1">
        <v>10</v>
      </c>
      <c r="AC69" s="1" t="s">
        <v>50</v>
      </c>
      <c r="AD69" s="1">
        <v>10</v>
      </c>
      <c r="AE69" s="1" t="s">
        <v>46</v>
      </c>
      <c r="AF69" s="1">
        <v>10</v>
      </c>
      <c r="AG69" s="1"/>
      <c r="AH69" s="1"/>
      <c r="AI69" s="1"/>
      <c r="AJ69" s="1"/>
      <c r="AK69" s="4">
        <f>Table13[[#This Row],[KM]]+Table13[[#This Row],[LM]]+Table13[[#This Row],[MM]]+Table13[[#This Row],[NM]]+Table13[[#This Row],[OM]]</f>
        <v>30</v>
      </c>
      <c r="AL69" s="1" t="s">
        <v>51</v>
      </c>
      <c r="AM69" s="1">
        <v>5</v>
      </c>
      <c r="AN69" s="1" t="s">
        <v>52</v>
      </c>
      <c r="AO69" s="1">
        <v>5</v>
      </c>
      <c r="AP69" s="1" t="s">
        <v>53</v>
      </c>
      <c r="AQ69" s="1">
        <v>5</v>
      </c>
      <c r="AR69" s="1" t="s">
        <v>54</v>
      </c>
      <c r="AS69" s="1">
        <v>5</v>
      </c>
      <c r="AT69" s="4">
        <f>Table13[[#This Row],[PM]]+Table13[[#This Row],[QM]]+Table13[[#This Row],[RM]]+Table13[[#This Row],[SM]]</f>
        <v>20</v>
      </c>
      <c r="AU69" s="5">
        <f>Table13[[#This Row],[TOT1]]+Table13[[#This Row],[TOT2]]+Table13[[#This Row],[TOT3]]</f>
        <v>100</v>
      </c>
      <c r="AV69" s="1"/>
    </row>
    <row r="70" spans="1:48">
      <c r="A70" s="12">
        <v>17</v>
      </c>
      <c r="B70" s="1">
        <v>69</v>
      </c>
      <c r="C70" s="1" t="s">
        <v>17</v>
      </c>
      <c r="D70" s="1" t="s">
        <v>77</v>
      </c>
      <c r="E70" s="1">
        <v>0.06</v>
      </c>
      <c r="F70" s="1">
        <v>7</v>
      </c>
      <c r="G70" s="1">
        <v>10</v>
      </c>
      <c r="H70" s="1">
        <v>10</v>
      </c>
      <c r="I70" s="1">
        <v>10</v>
      </c>
      <c r="J70" s="1">
        <v>7.5</v>
      </c>
      <c r="K70" s="1">
        <v>10</v>
      </c>
      <c r="L70" s="1">
        <v>9</v>
      </c>
      <c r="M70" s="1">
        <v>10</v>
      </c>
      <c r="N70" s="1">
        <v>30</v>
      </c>
      <c r="O70" s="1">
        <v>10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70" s="1" t="s">
        <v>45</v>
      </c>
      <c r="AB70" s="1">
        <v>10</v>
      </c>
      <c r="AC70" s="1" t="s">
        <v>50</v>
      </c>
      <c r="AD70" s="1">
        <v>10</v>
      </c>
      <c r="AE70" s="1" t="s">
        <v>56</v>
      </c>
      <c r="AF70" s="1">
        <v>10</v>
      </c>
      <c r="AG70" s="1"/>
      <c r="AH70" s="1"/>
      <c r="AI70" s="1"/>
      <c r="AJ70" s="1"/>
      <c r="AK70" s="4">
        <f>Table13[[#This Row],[KM]]+Table13[[#This Row],[LM]]+Table13[[#This Row],[MM]]+Table13[[#This Row],[NM]]+Table13[[#This Row],[OM]]</f>
        <v>30</v>
      </c>
      <c r="AL70" s="1" t="s">
        <v>51</v>
      </c>
      <c r="AM70" s="1">
        <v>5</v>
      </c>
      <c r="AN70" s="1" t="s">
        <v>52</v>
      </c>
      <c r="AO70" s="1">
        <v>5</v>
      </c>
      <c r="AP70" s="1" t="s">
        <v>53</v>
      </c>
      <c r="AQ70" s="1">
        <v>5</v>
      </c>
      <c r="AR70" s="1" t="s">
        <v>54</v>
      </c>
      <c r="AS70" s="1">
        <v>5</v>
      </c>
      <c r="AT70" s="4">
        <f>Table13[[#This Row],[PM]]+Table13[[#This Row],[QM]]+Table13[[#This Row],[RM]]+Table13[[#This Row],[SM]]</f>
        <v>20</v>
      </c>
      <c r="AU70" s="5">
        <f>Table13[[#This Row],[TOT1]]+Table13[[#This Row],[TOT2]]+Table13[[#This Row],[TOT3]]</f>
        <v>100</v>
      </c>
      <c r="AV70" s="1"/>
    </row>
    <row r="71" spans="1:48">
      <c r="A71" s="12">
        <v>18</v>
      </c>
      <c r="B71" s="1">
        <v>70</v>
      </c>
      <c r="C71" s="1" t="s">
        <v>18</v>
      </c>
      <c r="D71" s="1" t="s">
        <v>78</v>
      </c>
      <c r="E71" s="1">
        <v>0.06</v>
      </c>
      <c r="F71" s="1">
        <v>10</v>
      </c>
      <c r="G71" s="1">
        <v>10</v>
      </c>
      <c r="H71" s="1">
        <v>11.5</v>
      </c>
      <c r="I71" s="1">
        <v>10</v>
      </c>
      <c r="J71" s="1">
        <v>11.5</v>
      </c>
      <c r="K71" s="1">
        <v>10</v>
      </c>
      <c r="L71" s="1">
        <v>50</v>
      </c>
      <c r="M71" s="1">
        <v>10</v>
      </c>
      <c r="N71" s="1">
        <v>13.5</v>
      </c>
      <c r="O71" s="1">
        <v>10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71" s="1" t="s">
        <v>43</v>
      </c>
      <c r="AB71" s="1">
        <v>10</v>
      </c>
      <c r="AC71" s="1" t="s">
        <v>50</v>
      </c>
      <c r="AD71" s="1">
        <v>10</v>
      </c>
      <c r="AE71" s="1" t="s">
        <v>46</v>
      </c>
      <c r="AF71" s="1">
        <v>10</v>
      </c>
      <c r="AG71" s="1"/>
      <c r="AH71" s="1"/>
      <c r="AI71" s="1"/>
      <c r="AJ71" s="1"/>
      <c r="AK71" s="4">
        <f>Table13[[#This Row],[KM]]+Table13[[#This Row],[LM]]+Table13[[#This Row],[MM]]+Table13[[#This Row],[NM]]+Table13[[#This Row],[OM]]</f>
        <v>30</v>
      </c>
      <c r="AL71" s="1" t="s">
        <v>51</v>
      </c>
      <c r="AM71" s="1">
        <v>5</v>
      </c>
      <c r="AN71" s="1" t="s">
        <v>52</v>
      </c>
      <c r="AO71" s="1">
        <v>5</v>
      </c>
      <c r="AP71" s="1" t="s">
        <v>53</v>
      </c>
      <c r="AQ71" s="1">
        <v>5</v>
      </c>
      <c r="AR71" s="1" t="s">
        <v>54</v>
      </c>
      <c r="AS71" s="1">
        <v>5</v>
      </c>
      <c r="AT71" s="4">
        <f>Table13[[#This Row],[PM]]+Table13[[#This Row],[QM]]+Table13[[#This Row],[RM]]+Table13[[#This Row],[SM]]</f>
        <v>20</v>
      </c>
      <c r="AU71" s="5">
        <f>Table13[[#This Row],[TOT1]]+Table13[[#This Row],[TOT2]]+Table13[[#This Row],[TOT3]]</f>
        <v>100</v>
      </c>
      <c r="AV71" s="1"/>
    </row>
    <row r="72" spans="1:48">
      <c r="A72" s="12">
        <v>19</v>
      </c>
      <c r="B72" s="1">
        <v>71</v>
      </c>
      <c r="C72" s="1" t="s">
        <v>19</v>
      </c>
      <c r="D72" s="1" t="s">
        <v>79</v>
      </c>
      <c r="E72" s="1">
        <v>0.06</v>
      </c>
      <c r="F72" s="1">
        <v>50</v>
      </c>
      <c r="G72" s="1">
        <v>10</v>
      </c>
      <c r="H72" s="1">
        <v>35.5</v>
      </c>
      <c r="I72" s="1">
        <v>10</v>
      </c>
      <c r="J72" s="1">
        <v>11.5</v>
      </c>
      <c r="K72" s="1">
        <v>10</v>
      </c>
      <c r="L72" s="1">
        <v>10</v>
      </c>
      <c r="M72" s="1">
        <v>10</v>
      </c>
      <c r="N72" s="1">
        <v>9.5</v>
      </c>
      <c r="O72" s="1">
        <v>10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72" s="1" t="s">
        <v>45</v>
      </c>
      <c r="AB72" s="1">
        <v>10</v>
      </c>
      <c r="AC72" s="1" t="s">
        <v>50</v>
      </c>
      <c r="AD72" s="1">
        <v>10</v>
      </c>
      <c r="AE72" s="1" t="s">
        <v>56</v>
      </c>
      <c r="AF72" s="1">
        <v>10</v>
      </c>
      <c r="AG72" s="1"/>
      <c r="AH72" s="1"/>
      <c r="AI72" s="1"/>
      <c r="AJ72" s="1"/>
      <c r="AK72" s="4">
        <f>Table13[[#This Row],[KM]]+Table13[[#This Row],[LM]]+Table13[[#This Row],[MM]]+Table13[[#This Row],[NM]]+Table13[[#This Row],[OM]]</f>
        <v>30</v>
      </c>
      <c r="AL72" s="1" t="s">
        <v>51</v>
      </c>
      <c r="AM72" s="1">
        <v>5</v>
      </c>
      <c r="AN72" s="1" t="s">
        <v>52</v>
      </c>
      <c r="AO72" s="1">
        <v>5</v>
      </c>
      <c r="AP72" s="1" t="s">
        <v>53</v>
      </c>
      <c r="AQ72" s="1">
        <v>5</v>
      </c>
      <c r="AR72" s="1" t="s">
        <v>54</v>
      </c>
      <c r="AS72" s="1">
        <v>5</v>
      </c>
      <c r="AT72" s="4">
        <f>Table13[[#This Row],[PM]]+Table13[[#This Row],[QM]]+Table13[[#This Row],[RM]]+Table13[[#This Row],[SM]]</f>
        <v>20</v>
      </c>
      <c r="AU72" s="5">
        <f>Table13[[#This Row],[TOT1]]+Table13[[#This Row],[TOT2]]+Table13[[#This Row],[TOT3]]</f>
        <v>100</v>
      </c>
      <c r="AV72" s="1"/>
    </row>
    <row r="73" spans="1:48">
      <c r="A73" s="12">
        <v>20</v>
      </c>
      <c r="B73" s="1">
        <v>72</v>
      </c>
      <c r="C73" s="1" t="s">
        <v>20</v>
      </c>
      <c r="D73" s="1" t="s">
        <v>80</v>
      </c>
      <c r="E73" s="1">
        <v>0.06</v>
      </c>
      <c r="F73" s="1">
        <v>10</v>
      </c>
      <c r="G73" s="1">
        <v>10</v>
      </c>
      <c r="H73" s="1">
        <v>10</v>
      </c>
      <c r="I73" s="1">
        <v>10</v>
      </c>
      <c r="J73" s="1">
        <v>28</v>
      </c>
      <c r="K73" s="1">
        <v>10</v>
      </c>
      <c r="L73" s="1">
        <v>50</v>
      </c>
      <c r="M73" s="1">
        <v>10</v>
      </c>
      <c r="N73" s="1">
        <v>64</v>
      </c>
      <c r="O73" s="1">
        <v>10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73" s="1" t="s">
        <v>43</v>
      </c>
      <c r="AB73" s="1">
        <v>10</v>
      </c>
      <c r="AC73" s="1" t="s">
        <v>50</v>
      </c>
      <c r="AD73" s="1">
        <v>10</v>
      </c>
      <c r="AE73" s="1" t="s">
        <v>46</v>
      </c>
      <c r="AF73" s="1">
        <v>10</v>
      </c>
      <c r="AG73" s="1"/>
      <c r="AH73" s="1"/>
      <c r="AI73" s="1"/>
      <c r="AJ73" s="1"/>
      <c r="AK73" s="4">
        <f>Table13[[#This Row],[KM]]+Table13[[#This Row],[LM]]+Table13[[#This Row],[MM]]+Table13[[#This Row],[NM]]+Table13[[#This Row],[OM]]</f>
        <v>30</v>
      </c>
      <c r="AL73" s="1" t="s">
        <v>51</v>
      </c>
      <c r="AM73" s="1">
        <v>5</v>
      </c>
      <c r="AN73" s="1" t="s">
        <v>52</v>
      </c>
      <c r="AO73" s="1">
        <v>5</v>
      </c>
      <c r="AP73" s="1" t="s">
        <v>53</v>
      </c>
      <c r="AQ73" s="1">
        <v>5</v>
      </c>
      <c r="AR73" s="1" t="s">
        <v>54</v>
      </c>
      <c r="AS73" s="1">
        <v>5</v>
      </c>
      <c r="AT73" s="4">
        <f>Table13[[#This Row],[PM]]+Table13[[#This Row],[QM]]+Table13[[#This Row],[RM]]+Table13[[#This Row],[SM]]</f>
        <v>20</v>
      </c>
      <c r="AU73" s="5">
        <f>Table13[[#This Row],[TOT1]]+Table13[[#This Row],[TOT2]]+Table13[[#This Row],[TOT3]]</f>
        <v>100</v>
      </c>
      <c r="AV73" s="1"/>
    </row>
    <row r="74" spans="1:48">
      <c r="A74" s="12">
        <v>21</v>
      </c>
      <c r="B74" s="1">
        <v>73</v>
      </c>
      <c r="C74" s="1" t="s">
        <v>21</v>
      </c>
      <c r="D74" s="1" t="s">
        <v>81</v>
      </c>
      <c r="E74" s="1">
        <v>0.06</v>
      </c>
      <c r="F74" s="1">
        <v>10</v>
      </c>
      <c r="G74" s="1">
        <v>10</v>
      </c>
      <c r="H74" s="1">
        <v>9</v>
      </c>
      <c r="I74" s="1">
        <v>10</v>
      </c>
      <c r="J74" s="1">
        <v>10</v>
      </c>
      <c r="K74" s="1">
        <v>10</v>
      </c>
      <c r="L74" s="1">
        <v>9</v>
      </c>
      <c r="M74" s="1">
        <v>10</v>
      </c>
      <c r="N74" s="1">
        <v>34</v>
      </c>
      <c r="O74" s="1">
        <v>10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74" s="1" t="s">
        <v>45</v>
      </c>
      <c r="AB74" s="1">
        <v>10</v>
      </c>
      <c r="AC74" s="1" t="s">
        <v>50</v>
      </c>
      <c r="AD74" s="1">
        <v>10</v>
      </c>
      <c r="AE74" s="1" t="s">
        <v>56</v>
      </c>
      <c r="AF74" s="1">
        <v>10</v>
      </c>
      <c r="AG74" s="1"/>
      <c r="AH74" s="1"/>
      <c r="AI74" s="1"/>
      <c r="AJ74" s="1"/>
      <c r="AK74" s="4">
        <f>Table13[[#This Row],[KM]]+Table13[[#This Row],[LM]]+Table13[[#This Row],[MM]]+Table13[[#This Row],[NM]]+Table13[[#This Row],[OM]]</f>
        <v>30</v>
      </c>
      <c r="AL74" s="1" t="s">
        <v>51</v>
      </c>
      <c r="AM74" s="1">
        <v>5</v>
      </c>
      <c r="AN74" s="1" t="s">
        <v>52</v>
      </c>
      <c r="AO74" s="1">
        <v>5</v>
      </c>
      <c r="AP74" s="1" t="s">
        <v>53</v>
      </c>
      <c r="AQ74" s="1">
        <v>5</v>
      </c>
      <c r="AR74" s="1" t="s">
        <v>54</v>
      </c>
      <c r="AS74" s="1">
        <v>5</v>
      </c>
      <c r="AT74" s="4">
        <f>Table13[[#This Row],[PM]]+Table13[[#This Row],[QM]]+Table13[[#This Row],[RM]]+Table13[[#This Row],[SM]]</f>
        <v>20</v>
      </c>
      <c r="AU74" s="5">
        <f>Table13[[#This Row],[TOT1]]+Table13[[#This Row],[TOT2]]+Table13[[#This Row],[TOT3]]</f>
        <v>100</v>
      </c>
      <c r="AV74" s="1"/>
    </row>
    <row r="75" spans="1:48">
      <c r="A75" s="12">
        <v>22</v>
      </c>
      <c r="B75" s="1">
        <v>74</v>
      </c>
      <c r="C75" s="1" t="s">
        <v>22</v>
      </c>
      <c r="D75" s="1" t="s">
        <v>82</v>
      </c>
      <c r="E75" s="1">
        <v>0.06</v>
      </c>
      <c r="F75" s="1">
        <v>12</v>
      </c>
      <c r="G75" s="1">
        <v>10</v>
      </c>
      <c r="H75" s="1">
        <v>74</v>
      </c>
      <c r="I75" s="1">
        <v>10</v>
      </c>
      <c r="J75" s="1">
        <v>33.65</v>
      </c>
      <c r="K75" s="1">
        <v>10</v>
      </c>
      <c r="L75" s="1">
        <v>25</v>
      </c>
      <c r="M75" s="1">
        <v>10</v>
      </c>
      <c r="N75" s="1">
        <v>9</v>
      </c>
      <c r="O75" s="1">
        <v>10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75" s="1" t="s">
        <v>43</v>
      </c>
      <c r="AB75" s="1">
        <v>10</v>
      </c>
      <c r="AC75" s="1" t="s">
        <v>58</v>
      </c>
      <c r="AD75" s="1">
        <v>10</v>
      </c>
      <c r="AE75" s="1" t="s">
        <v>46</v>
      </c>
      <c r="AF75" s="1">
        <v>10</v>
      </c>
      <c r="AG75" s="1"/>
      <c r="AH75" s="1"/>
      <c r="AI75" s="1"/>
      <c r="AJ75" s="1"/>
      <c r="AK75" s="4">
        <f>Table13[[#This Row],[KM]]+Table13[[#This Row],[LM]]+Table13[[#This Row],[MM]]+Table13[[#This Row],[NM]]+Table13[[#This Row],[OM]]</f>
        <v>30</v>
      </c>
      <c r="AL75" s="1" t="s">
        <v>51</v>
      </c>
      <c r="AM75" s="1">
        <v>5</v>
      </c>
      <c r="AN75" s="1" t="s">
        <v>52</v>
      </c>
      <c r="AO75" s="1">
        <v>5</v>
      </c>
      <c r="AP75" s="1" t="s">
        <v>53</v>
      </c>
      <c r="AQ75" s="1">
        <v>5</v>
      </c>
      <c r="AR75" s="1" t="s">
        <v>54</v>
      </c>
      <c r="AS75" s="1">
        <v>5</v>
      </c>
      <c r="AT75" s="4">
        <f>Table13[[#This Row],[PM]]+Table13[[#This Row],[QM]]+Table13[[#This Row],[RM]]+Table13[[#This Row],[SM]]</f>
        <v>20</v>
      </c>
      <c r="AU75" s="5">
        <f>Table13[[#This Row],[TOT1]]+Table13[[#This Row],[TOT2]]+Table13[[#This Row],[TOT3]]</f>
        <v>100</v>
      </c>
      <c r="AV75" s="1"/>
    </row>
    <row r="76" spans="1:48">
      <c r="A76" s="12">
        <v>23</v>
      </c>
      <c r="B76" s="1">
        <v>75</v>
      </c>
      <c r="C76" s="1" t="s">
        <v>23</v>
      </c>
      <c r="D76" s="1" t="s">
        <v>83</v>
      </c>
      <c r="E76" s="1">
        <v>0.06</v>
      </c>
      <c r="F76" s="1">
        <v>33.65</v>
      </c>
      <c r="G76" s="1">
        <v>10</v>
      </c>
      <c r="H76" s="1">
        <v>74</v>
      </c>
      <c r="I76" s="1">
        <v>10</v>
      </c>
      <c r="J76" s="1">
        <v>12</v>
      </c>
      <c r="K76" s="1">
        <v>10</v>
      </c>
      <c r="L76" s="1">
        <v>12</v>
      </c>
      <c r="M76" s="1">
        <v>10</v>
      </c>
      <c r="N76" s="1">
        <v>9</v>
      </c>
      <c r="O76" s="1">
        <v>10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76" s="1" t="s">
        <v>45</v>
      </c>
      <c r="AB76" s="1">
        <v>10</v>
      </c>
      <c r="AC76" s="1" t="s">
        <v>56</v>
      </c>
      <c r="AD76" s="1">
        <v>10</v>
      </c>
      <c r="AE76" s="1" t="s">
        <v>46</v>
      </c>
      <c r="AF76" s="1">
        <v>10</v>
      </c>
      <c r="AG76" s="1"/>
      <c r="AH76" s="1"/>
      <c r="AI76" s="1"/>
      <c r="AJ76" s="1"/>
      <c r="AK76" s="4">
        <f>Table13[[#This Row],[KM]]+Table13[[#This Row],[LM]]+Table13[[#This Row],[MM]]+Table13[[#This Row],[NM]]+Table13[[#This Row],[OM]]</f>
        <v>30</v>
      </c>
      <c r="AL76" s="1" t="s">
        <v>51</v>
      </c>
      <c r="AM76" s="1">
        <v>5</v>
      </c>
      <c r="AN76" s="1" t="s">
        <v>52</v>
      </c>
      <c r="AO76" s="1">
        <v>5</v>
      </c>
      <c r="AP76" s="1" t="s">
        <v>53</v>
      </c>
      <c r="AQ76" s="1">
        <v>5</v>
      </c>
      <c r="AR76" s="1" t="s">
        <v>54</v>
      </c>
      <c r="AS76" s="1">
        <v>5</v>
      </c>
      <c r="AT76" s="4">
        <f>Table13[[#This Row],[PM]]+Table13[[#This Row],[QM]]+Table13[[#This Row],[RM]]+Table13[[#This Row],[SM]]</f>
        <v>20</v>
      </c>
      <c r="AU76" s="5">
        <f>Table13[[#This Row],[TOT1]]+Table13[[#This Row],[TOT2]]+Table13[[#This Row],[TOT3]]</f>
        <v>100</v>
      </c>
      <c r="AV76" s="1"/>
    </row>
    <row r="77" spans="1:48">
      <c r="A77" s="12">
        <v>24</v>
      </c>
      <c r="B77" s="1">
        <v>76</v>
      </c>
      <c r="C77" s="1" t="s">
        <v>24</v>
      </c>
      <c r="D77" s="1" t="s">
        <v>84</v>
      </c>
      <c r="E77" s="1">
        <v>0.06</v>
      </c>
      <c r="F77" s="1">
        <v>15</v>
      </c>
      <c r="G77" s="1">
        <v>10</v>
      </c>
      <c r="H77" s="1">
        <v>10</v>
      </c>
      <c r="I77" s="1">
        <v>10</v>
      </c>
      <c r="J77" s="1">
        <v>15</v>
      </c>
      <c r="K77" s="1">
        <v>10</v>
      </c>
      <c r="L77" s="1">
        <v>15</v>
      </c>
      <c r="M77" s="1">
        <v>10</v>
      </c>
      <c r="N77" s="1">
        <v>8</v>
      </c>
      <c r="O77" s="1">
        <v>10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77" s="1" t="s">
        <v>43</v>
      </c>
      <c r="AB77" s="1">
        <v>10</v>
      </c>
      <c r="AC77" s="1" t="s">
        <v>50</v>
      </c>
      <c r="AD77" s="1">
        <v>10</v>
      </c>
      <c r="AE77" s="1" t="s">
        <v>46</v>
      </c>
      <c r="AF77" s="1">
        <v>10</v>
      </c>
      <c r="AG77" s="1"/>
      <c r="AH77" s="1"/>
      <c r="AI77" s="1"/>
      <c r="AJ77" s="1"/>
      <c r="AK77" s="4">
        <f>Table13[[#This Row],[KM]]+Table13[[#This Row],[LM]]+Table13[[#This Row],[MM]]+Table13[[#This Row],[NM]]+Table13[[#This Row],[OM]]</f>
        <v>30</v>
      </c>
      <c r="AL77" s="1" t="s">
        <v>51</v>
      </c>
      <c r="AM77" s="1">
        <v>5</v>
      </c>
      <c r="AN77" s="1" t="s">
        <v>52</v>
      </c>
      <c r="AO77" s="1">
        <v>5</v>
      </c>
      <c r="AP77" s="1" t="s">
        <v>53</v>
      </c>
      <c r="AQ77" s="1">
        <v>5</v>
      </c>
      <c r="AR77" s="1" t="s">
        <v>54</v>
      </c>
      <c r="AS77" s="1">
        <v>5</v>
      </c>
      <c r="AT77" s="4">
        <f>Table13[[#This Row],[PM]]+Table13[[#This Row],[QM]]+Table13[[#This Row],[RM]]+Table13[[#This Row],[SM]]</f>
        <v>20</v>
      </c>
      <c r="AU77" s="5">
        <f>Table13[[#This Row],[TOT1]]+Table13[[#This Row],[TOT2]]+Table13[[#This Row],[TOT3]]</f>
        <v>100</v>
      </c>
      <c r="AV77" s="1"/>
    </row>
    <row r="78" spans="1:48">
      <c r="A78" s="12">
        <v>25</v>
      </c>
      <c r="B78" s="1">
        <v>77</v>
      </c>
      <c r="C78" s="1" t="s">
        <v>25</v>
      </c>
      <c r="D78" s="1" t="s">
        <v>85</v>
      </c>
      <c r="E78" s="1">
        <v>0.06</v>
      </c>
      <c r="F78" s="1">
        <v>30</v>
      </c>
      <c r="G78" s="1">
        <v>10</v>
      </c>
      <c r="H78" s="1">
        <v>32</v>
      </c>
      <c r="I78" s="1">
        <v>10</v>
      </c>
      <c r="J78" s="1">
        <v>48</v>
      </c>
      <c r="K78" s="1">
        <v>10</v>
      </c>
      <c r="L78" s="1">
        <v>40</v>
      </c>
      <c r="M78" s="1">
        <v>10</v>
      </c>
      <c r="N78" s="1">
        <v>9</v>
      </c>
      <c r="O78" s="1">
        <v>10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78" s="1" t="s">
        <v>45</v>
      </c>
      <c r="AB78" s="1">
        <v>10</v>
      </c>
      <c r="AC78" s="1" t="s">
        <v>50</v>
      </c>
      <c r="AD78" s="1">
        <v>10</v>
      </c>
      <c r="AE78" s="1" t="s">
        <v>56</v>
      </c>
      <c r="AF78" s="1">
        <v>10</v>
      </c>
      <c r="AG78" s="1"/>
      <c r="AH78" s="1"/>
      <c r="AI78" s="1"/>
      <c r="AJ78" s="1"/>
      <c r="AK78" s="4">
        <f>Table13[[#This Row],[KM]]+Table13[[#This Row],[LM]]+Table13[[#This Row],[MM]]+Table13[[#This Row],[NM]]+Table13[[#This Row],[OM]]</f>
        <v>30</v>
      </c>
      <c r="AL78" s="1" t="s">
        <v>51</v>
      </c>
      <c r="AM78" s="1">
        <v>5</v>
      </c>
      <c r="AN78" s="1" t="s">
        <v>52</v>
      </c>
      <c r="AO78" s="1">
        <v>5</v>
      </c>
      <c r="AP78" s="1" t="s">
        <v>53</v>
      </c>
      <c r="AQ78" s="1">
        <v>5</v>
      </c>
      <c r="AR78" s="1" t="s">
        <v>54</v>
      </c>
      <c r="AS78" s="1">
        <v>5</v>
      </c>
      <c r="AT78" s="4">
        <f>Table13[[#This Row],[PM]]+Table13[[#This Row],[QM]]+Table13[[#This Row],[RM]]+Table13[[#This Row],[SM]]</f>
        <v>20</v>
      </c>
      <c r="AU78" s="5">
        <f>Table13[[#This Row],[TOT1]]+Table13[[#This Row],[TOT2]]+Table13[[#This Row],[TOT3]]</f>
        <v>100</v>
      </c>
      <c r="AV78" s="1"/>
    </row>
    <row r="79" spans="1:48">
      <c r="A79" s="12">
        <v>26</v>
      </c>
      <c r="B79" s="1">
        <v>78</v>
      </c>
      <c r="C79" s="1" t="s">
        <v>26</v>
      </c>
      <c r="D79" s="1" t="s">
        <v>86</v>
      </c>
      <c r="E79" s="1">
        <v>0.06</v>
      </c>
      <c r="F79" s="1">
        <v>40</v>
      </c>
      <c r="G79" s="1">
        <v>10</v>
      </c>
      <c r="H79" s="1">
        <v>48</v>
      </c>
      <c r="I79" s="1">
        <v>10</v>
      </c>
      <c r="J79" s="1">
        <v>18</v>
      </c>
      <c r="K79" s="1">
        <v>10</v>
      </c>
      <c r="L79" s="1">
        <v>12</v>
      </c>
      <c r="M79" s="1">
        <v>10</v>
      </c>
      <c r="N79" s="1">
        <v>9</v>
      </c>
      <c r="O79" s="1">
        <v>10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79" s="1" t="s">
        <v>43</v>
      </c>
      <c r="AB79" s="1">
        <v>10</v>
      </c>
      <c r="AC79" s="1" t="s">
        <v>44</v>
      </c>
      <c r="AD79" s="1">
        <v>10</v>
      </c>
      <c r="AE79" s="1" t="s">
        <v>65</v>
      </c>
      <c r="AF79" s="1">
        <v>10</v>
      </c>
      <c r="AG79" s="1"/>
      <c r="AH79" s="1"/>
      <c r="AI79" s="1"/>
      <c r="AJ79" s="1"/>
      <c r="AK79" s="4">
        <f>Table13[[#This Row],[KM]]+Table13[[#This Row],[LM]]+Table13[[#This Row],[MM]]+Table13[[#This Row],[NM]]+Table13[[#This Row],[OM]]</f>
        <v>30</v>
      </c>
      <c r="AL79" s="1" t="s">
        <v>51</v>
      </c>
      <c r="AM79" s="1">
        <v>5</v>
      </c>
      <c r="AN79" s="1" t="s">
        <v>52</v>
      </c>
      <c r="AO79" s="1">
        <v>5</v>
      </c>
      <c r="AP79" s="1" t="s">
        <v>53</v>
      </c>
      <c r="AQ79" s="1">
        <v>5</v>
      </c>
      <c r="AR79" s="1" t="s">
        <v>54</v>
      </c>
      <c r="AS79" s="1">
        <v>5</v>
      </c>
      <c r="AT79" s="4">
        <f>Table13[[#This Row],[PM]]+Table13[[#This Row],[QM]]+Table13[[#This Row],[RM]]+Table13[[#This Row],[SM]]</f>
        <v>20</v>
      </c>
      <c r="AU79" s="5">
        <f>Table13[[#This Row],[TOT1]]+Table13[[#This Row],[TOT2]]+Table13[[#This Row],[TOT3]]</f>
        <v>100</v>
      </c>
      <c r="AV79" s="1"/>
    </row>
    <row r="80" spans="1:48">
      <c r="A80" s="12">
        <v>27</v>
      </c>
      <c r="B80" s="1">
        <v>79</v>
      </c>
      <c r="C80" s="1" t="s">
        <v>27</v>
      </c>
      <c r="D80" s="1" t="s">
        <v>87</v>
      </c>
      <c r="E80" s="1">
        <v>0.06</v>
      </c>
      <c r="F80" s="1">
        <v>30</v>
      </c>
      <c r="G80" s="1">
        <v>10</v>
      </c>
      <c r="H80" s="1">
        <v>9</v>
      </c>
      <c r="I80" s="1">
        <v>10</v>
      </c>
      <c r="J80" s="1">
        <v>18</v>
      </c>
      <c r="K80" s="1">
        <v>10</v>
      </c>
      <c r="L80" s="1">
        <v>9</v>
      </c>
      <c r="M80" s="1">
        <v>10</v>
      </c>
      <c r="N80" s="1">
        <v>36</v>
      </c>
      <c r="O80" s="1">
        <v>10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80" s="1" t="s">
        <v>45</v>
      </c>
      <c r="AB80" s="1">
        <v>10</v>
      </c>
      <c r="AC80" s="1" t="s">
        <v>56</v>
      </c>
      <c r="AD80" s="1">
        <v>10</v>
      </c>
      <c r="AE80" s="1" t="s">
        <v>46</v>
      </c>
      <c r="AF80" s="1">
        <v>10</v>
      </c>
      <c r="AG80" s="1"/>
      <c r="AH80" s="1"/>
      <c r="AI80" s="1"/>
      <c r="AJ80" s="1"/>
      <c r="AK80" s="4">
        <f>Table13[[#This Row],[KM]]+Table13[[#This Row],[LM]]+Table13[[#This Row],[MM]]+Table13[[#This Row],[NM]]+Table13[[#This Row],[OM]]</f>
        <v>30</v>
      </c>
      <c r="AL80" s="1" t="s">
        <v>51</v>
      </c>
      <c r="AM80" s="1">
        <v>5</v>
      </c>
      <c r="AN80" s="1" t="s">
        <v>52</v>
      </c>
      <c r="AO80" s="1">
        <v>5</v>
      </c>
      <c r="AP80" s="1" t="s">
        <v>53</v>
      </c>
      <c r="AQ80" s="1">
        <v>5</v>
      </c>
      <c r="AR80" s="1" t="s">
        <v>54</v>
      </c>
      <c r="AS80" s="1">
        <v>5</v>
      </c>
      <c r="AT80" s="4">
        <f>Table13[[#This Row],[PM]]+Table13[[#This Row],[QM]]+Table13[[#This Row],[RM]]+Table13[[#This Row],[SM]]</f>
        <v>20</v>
      </c>
      <c r="AU80" s="5">
        <f>Table13[[#This Row],[TOT1]]+Table13[[#This Row],[TOT2]]+Table13[[#This Row],[TOT3]]</f>
        <v>100</v>
      </c>
      <c r="AV80" s="1"/>
    </row>
    <row r="81" spans="1:48">
      <c r="A81" s="12">
        <v>28</v>
      </c>
      <c r="B81" s="1">
        <v>80</v>
      </c>
      <c r="C81" s="1" t="s">
        <v>28</v>
      </c>
      <c r="D81" s="1" t="s">
        <v>88</v>
      </c>
      <c r="E81" s="1">
        <v>0.06</v>
      </c>
      <c r="F81" s="1">
        <v>48</v>
      </c>
      <c r="G81" s="1">
        <v>10</v>
      </c>
      <c r="H81" s="1">
        <v>38</v>
      </c>
      <c r="I81" s="1">
        <v>10</v>
      </c>
      <c r="J81" s="1">
        <v>16</v>
      </c>
      <c r="K81" s="1">
        <v>10</v>
      </c>
      <c r="L81" s="1">
        <v>8</v>
      </c>
      <c r="M81" s="1">
        <v>10</v>
      </c>
      <c r="N81" s="1">
        <v>9</v>
      </c>
      <c r="O81" s="1">
        <v>10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81" s="1" t="s">
        <v>43</v>
      </c>
      <c r="AB81" s="1">
        <v>10</v>
      </c>
      <c r="AC81" s="1" t="s">
        <v>50</v>
      </c>
      <c r="AD81" s="1">
        <v>10</v>
      </c>
      <c r="AE81" s="1" t="s">
        <v>65</v>
      </c>
      <c r="AF81" s="1">
        <v>10</v>
      </c>
      <c r="AG81" s="1"/>
      <c r="AH81" s="1"/>
      <c r="AI81" s="1"/>
      <c r="AJ81" s="1"/>
      <c r="AK81" s="4">
        <f>Table13[[#This Row],[KM]]+Table13[[#This Row],[LM]]+Table13[[#This Row],[MM]]+Table13[[#This Row],[NM]]+Table13[[#This Row],[OM]]</f>
        <v>30</v>
      </c>
      <c r="AL81" s="1" t="s">
        <v>51</v>
      </c>
      <c r="AM81" s="1">
        <v>5</v>
      </c>
      <c r="AN81" s="1" t="s">
        <v>52</v>
      </c>
      <c r="AO81" s="1">
        <v>5</v>
      </c>
      <c r="AP81" s="1" t="s">
        <v>53</v>
      </c>
      <c r="AQ81" s="1">
        <v>5</v>
      </c>
      <c r="AR81" s="1" t="s">
        <v>54</v>
      </c>
      <c r="AS81" s="1">
        <v>5</v>
      </c>
      <c r="AT81" s="4">
        <f>Table13[[#This Row],[PM]]+Table13[[#This Row],[QM]]+Table13[[#This Row],[RM]]+Table13[[#This Row],[SM]]</f>
        <v>20</v>
      </c>
      <c r="AU81" s="5">
        <f>Table13[[#This Row],[TOT1]]+Table13[[#This Row],[TOT2]]+Table13[[#This Row],[TOT3]]</f>
        <v>100</v>
      </c>
      <c r="AV81" s="1"/>
    </row>
    <row r="82" spans="1:48">
      <c r="A82" s="12">
        <v>29</v>
      </c>
      <c r="B82" s="1">
        <v>81</v>
      </c>
      <c r="C82" s="1" t="s">
        <v>29</v>
      </c>
      <c r="D82" s="1" t="s">
        <v>89</v>
      </c>
      <c r="E82" s="1">
        <v>0.06</v>
      </c>
      <c r="F82" s="1">
        <v>16</v>
      </c>
      <c r="G82" s="1">
        <v>10</v>
      </c>
      <c r="H82" s="1">
        <v>18</v>
      </c>
      <c r="I82" s="1">
        <v>10</v>
      </c>
      <c r="J82" s="1">
        <v>6</v>
      </c>
      <c r="K82" s="1">
        <v>10</v>
      </c>
      <c r="L82" s="1">
        <v>34</v>
      </c>
      <c r="M82" s="1">
        <v>10</v>
      </c>
      <c r="N82" s="1">
        <v>48</v>
      </c>
      <c r="O82" s="1">
        <v>10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82" s="1" t="s">
        <v>45</v>
      </c>
      <c r="AB82" s="1">
        <v>10</v>
      </c>
      <c r="AC82" s="1" t="s">
        <v>50</v>
      </c>
      <c r="AD82" s="1">
        <v>10</v>
      </c>
      <c r="AE82" s="1" t="s">
        <v>56</v>
      </c>
      <c r="AF82" s="1">
        <v>10</v>
      </c>
      <c r="AG82" s="1"/>
      <c r="AH82" s="1"/>
      <c r="AI82" s="1"/>
      <c r="AJ82" s="1"/>
      <c r="AK82" s="4">
        <f>Table13[[#This Row],[KM]]+Table13[[#This Row],[LM]]+Table13[[#This Row],[MM]]+Table13[[#This Row],[NM]]+Table13[[#This Row],[OM]]</f>
        <v>30</v>
      </c>
      <c r="AL82" s="1" t="s">
        <v>51</v>
      </c>
      <c r="AM82" s="1">
        <v>5</v>
      </c>
      <c r="AN82" s="1" t="s">
        <v>52</v>
      </c>
      <c r="AO82" s="1">
        <v>5</v>
      </c>
      <c r="AP82" s="1" t="s">
        <v>53</v>
      </c>
      <c r="AQ82" s="1">
        <v>5</v>
      </c>
      <c r="AR82" s="1" t="s">
        <v>54</v>
      </c>
      <c r="AS82" s="1">
        <v>5</v>
      </c>
      <c r="AT82" s="4">
        <f>Table13[[#This Row],[PM]]+Table13[[#This Row],[QM]]+Table13[[#This Row],[RM]]+Table13[[#This Row],[SM]]</f>
        <v>20</v>
      </c>
      <c r="AU82" s="5">
        <f>Table13[[#This Row],[TOT1]]+Table13[[#This Row],[TOT2]]+Table13[[#This Row],[TOT3]]</f>
        <v>100</v>
      </c>
      <c r="AV82" s="1"/>
    </row>
    <row r="83" spans="1:48">
      <c r="A83" s="12">
        <v>30</v>
      </c>
      <c r="B83" s="1">
        <v>82</v>
      </c>
      <c r="C83" s="1" t="s">
        <v>30</v>
      </c>
      <c r="D83" s="1" t="s">
        <v>90</v>
      </c>
      <c r="E83" s="1">
        <v>0.06</v>
      </c>
      <c r="F83" s="1">
        <v>12</v>
      </c>
      <c r="G83" s="1">
        <v>10</v>
      </c>
      <c r="H83" s="1">
        <v>16</v>
      </c>
      <c r="I83" s="1">
        <v>10</v>
      </c>
      <c r="J83" s="1">
        <v>23</v>
      </c>
      <c r="K83" s="1">
        <v>10</v>
      </c>
      <c r="L83" s="1">
        <v>16</v>
      </c>
      <c r="M83" s="1">
        <v>10</v>
      </c>
      <c r="N83" s="1">
        <v>48</v>
      </c>
      <c r="O83" s="1">
        <v>10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83" s="1" t="s">
        <v>43</v>
      </c>
      <c r="AB83" s="1">
        <v>10</v>
      </c>
      <c r="AC83" s="1" t="s">
        <v>91</v>
      </c>
      <c r="AD83" s="1">
        <v>10</v>
      </c>
      <c r="AE83" s="1" t="s">
        <v>46</v>
      </c>
      <c r="AF83" s="1">
        <v>10</v>
      </c>
      <c r="AG83" s="1"/>
      <c r="AH83" s="1"/>
      <c r="AI83" s="1"/>
      <c r="AJ83" s="1"/>
      <c r="AK83" s="4">
        <f>Table13[[#This Row],[KM]]+Table13[[#This Row],[LM]]+Table13[[#This Row],[MM]]+Table13[[#This Row],[NM]]+Table13[[#This Row],[OM]]</f>
        <v>30</v>
      </c>
      <c r="AL83" s="1" t="s">
        <v>51</v>
      </c>
      <c r="AM83" s="1">
        <v>5</v>
      </c>
      <c r="AN83" s="1" t="s">
        <v>52</v>
      </c>
      <c r="AO83" s="1">
        <v>5</v>
      </c>
      <c r="AP83" s="1" t="s">
        <v>53</v>
      </c>
      <c r="AQ83" s="1">
        <v>5</v>
      </c>
      <c r="AR83" s="1" t="s">
        <v>54</v>
      </c>
      <c r="AS83" s="1">
        <v>5</v>
      </c>
      <c r="AT83" s="4">
        <f>Table13[[#This Row],[PM]]+Table13[[#This Row],[QM]]+Table13[[#This Row],[RM]]+Table13[[#This Row],[SM]]</f>
        <v>20</v>
      </c>
      <c r="AU83" s="5">
        <f>Table13[[#This Row],[TOT1]]+Table13[[#This Row],[TOT2]]+Table13[[#This Row],[TOT3]]</f>
        <v>100</v>
      </c>
      <c r="AV83" s="1"/>
    </row>
    <row r="84" spans="1:48">
      <c r="A84" s="12">
        <v>31</v>
      </c>
      <c r="B84" s="1">
        <v>83</v>
      </c>
      <c r="C84" s="1" t="s">
        <v>31</v>
      </c>
      <c r="D84" s="1" t="s">
        <v>92</v>
      </c>
      <c r="E84" s="1">
        <v>0.06</v>
      </c>
      <c r="F84" s="1">
        <v>16</v>
      </c>
      <c r="G84" s="1">
        <v>10</v>
      </c>
      <c r="H84" s="1">
        <v>35</v>
      </c>
      <c r="I84" s="1">
        <v>10</v>
      </c>
      <c r="J84" s="1">
        <v>12</v>
      </c>
      <c r="K84" s="1">
        <v>10</v>
      </c>
      <c r="L84" s="1">
        <v>12</v>
      </c>
      <c r="M84" s="1">
        <v>10</v>
      </c>
      <c r="N84" s="1">
        <v>16</v>
      </c>
      <c r="O84" s="1">
        <v>10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84" s="1" t="s">
        <v>44</v>
      </c>
      <c r="AB84" s="1">
        <v>10</v>
      </c>
      <c r="AC84" s="1" t="s">
        <v>93</v>
      </c>
      <c r="AD84" s="1">
        <v>10</v>
      </c>
      <c r="AE84" s="1" t="s">
        <v>56</v>
      </c>
      <c r="AF84" s="1">
        <v>10</v>
      </c>
      <c r="AG84" s="1"/>
      <c r="AH84" s="1"/>
      <c r="AI84" s="1"/>
      <c r="AJ84" s="1"/>
      <c r="AK84" s="4">
        <f>Table13[[#This Row],[KM]]+Table13[[#This Row],[LM]]+Table13[[#This Row],[MM]]+Table13[[#This Row],[NM]]+Table13[[#This Row],[OM]]</f>
        <v>30</v>
      </c>
      <c r="AL84" s="1" t="s">
        <v>51</v>
      </c>
      <c r="AM84" s="1">
        <v>5</v>
      </c>
      <c r="AN84" s="1" t="s">
        <v>52</v>
      </c>
      <c r="AO84" s="1">
        <v>5</v>
      </c>
      <c r="AP84" s="1" t="s">
        <v>53</v>
      </c>
      <c r="AQ84" s="1">
        <v>5</v>
      </c>
      <c r="AR84" s="1" t="s">
        <v>54</v>
      </c>
      <c r="AS84" s="1">
        <v>5</v>
      </c>
      <c r="AT84" s="4">
        <f>Table13[[#This Row],[PM]]+Table13[[#This Row],[QM]]+Table13[[#This Row],[RM]]+Table13[[#This Row],[SM]]</f>
        <v>20</v>
      </c>
      <c r="AU84" s="5">
        <f>Table13[[#This Row],[TOT1]]+Table13[[#This Row],[TOT2]]+Table13[[#This Row],[TOT3]]</f>
        <v>100</v>
      </c>
      <c r="AV84" s="1"/>
    </row>
    <row r="85" spans="1:48">
      <c r="A85" s="12">
        <v>32</v>
      </c>
      <c r="B85" s="1">
        <v>84</v>
      </c>
      <c r="C85" s="1" t="s">
        <v>32</v>
      </c>
      <c r="D85" s="1" t="s">
        <v>94</v>
      </c>
      <c r="E85" s="1">
        <v>0.06</v>
      </c>
      <c r="F85" s="1">
        <v>12</v>
      </c>
      <c r="G85" s="1">
        <v>10</v>
      </c>
      <c r="H85" s="1">
        <v>12</v>
      </c>
      <c r="I85" s="1">
        <v>10</v>
      </c>
      <c r="J85" s="1">
        <v>12</v>
      </c>
      <c r="K85" s="1">
        <v>10</v>
      </c>
      <c r="L85" s="1">
        <v>12</v>
      </c>
      <c r="M85" s="1">
        <v>10</v>
      </c>
      <c r="N85" s="1">
        <v>12</v>
      </c>
      <c r="O85" s="1">
        <v>10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85" s="1" t="s">
        <v>43</v>
      </c>
      <c r="AB85" s="1">
        <v>10</v>
      </c>
      <c r="AC85" s="1" t="s">
        <v>44</v>
      </c>
      <c r="AD85" s="1">
        <v>10</v>
      </c>
      <c r="AE85" s="1" t="s">
        <v>65</v>
      </c>
      <c r="AF85" s="1">
        <v>10</v>
      </c>
      <c r="AG85" s="1"/>
      <c r="AH85" s="1"/>
      <c r="AI85" s="1"/>
      <c r="AJ85" s="1"/>
      <c r="AK85" s="4">
        <f>Table13[[#This Row],[KM]]+Table13[[#This Row],[LM]]+Table13[[#This Row],[MM]]+Table13[[#This Row],[NM]]+Table13[[#This Row],[OM]]</f>
        <v>30</v>
      </c>
      <c r="AL85" s="1" t="s">
        <v>51</v>
      </c>
      <c r="AM85" s="1">
        <v>5</v>
      </c>
      <c r="AN85" s="1" t="s">
        <v>52</v>
      </c>
      <c r="AO85" s="1">
        <v>5</v>
      </c>
      <c r="AP85" s="1" t="s">
        <v>53</v>
      </c>
      <c r="AQ85" s="1">
        <v>5</v>
      </c>
      <c r="AR85" s="1" t="s">
        <v>54</v>
      </c>
      <c r="AS85" s="1">
        <v>5</v>
      </c>
      <c r="AT85" s="4">
        <f>Table13[[#This Row],[PM]]+Table13[[#This Row],[QM]]+Table13[[#This Row],[RM]]+Table13[[#This Row],[SM]]</f>
        <v>20</v>
      </c>
      <c r="AU85" s="5">
        <f>Table13[[#This Row],[TOT1]]+Table13[[#This Row],[TOT2]]+Table13[[#This Row],[TOT3]]</f>
        <v>100</v>
      </c>
      <c r="AV85" s="1"/>
    </row>
    <row r="86" spans="1:48">
      <c r="A86" s="12">
        <v>33</v>
      </c>
      <c r="B86" s="1">
        <v>85</v>
      </c>
      <c r="C86" s="1" t="s">
        <v>33</v>
      </c>
      <c r="D86" s="1" t="s">
        <v>95</v>
      </c>
      <c r="E86" s="1">
        <v>0.06</v>
      </c>
      <c r="F86" s="1">
        <v>12</v>
      </c>
      <c r="G86" s="1">
        <v>10</v>
      </c>
      <c r="H86" s="1">
        <v>12</v>
      </c>
      <c r="I86" s="1">
        <v>10</v>
      </c>
      <c r="J86" s="1">
        <v>12</v>
      </c>
      <c r="K86" s="1">
        <v>10</v>
      </c>
      <c r="L86" s="1">
        <v>12</v>
      </c>
      <c r="M86" s="1">
        <v>10</v>
      </c>
      <c r="N86" s="1">
        <v>12</v>
      </c>
      <c r="O86" s="1">
        <v>10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86" s="1" t="s">
        <v>44</v>
      </c>
      <c r="AB86" s="1">
        <v>10</v>
      </c>
      <c r="AC86" s="1" t="s">
        <v>93</v>
      </c>
      <c r="AD86" s="1">
        <v>10</v>
      </c>
      <c r="AE86" s="1" t="s">
        <v>56</v>
      </c>
      <c r="AF86" s="1">
        <v>10</v>
      </c>
      <c r="AG86" s="1"/>
      <c r="AH86" s="1"/>
      <c r="AI86" s="1"/>
      <c r="AJ86" s="1"/>
      <c r="AK86" s="4">
        <f>Table13[[#This Row],[KM]]+Table13[[#This Row],[LM]]+Table13[[#This Row],[MM]]+Table13[[#This Row],[NM]]+Table13[[#This Row],[OM]]</f>
        <v>30</v>
      </c>
      <c r="AL86" s="1" t="s">
        <v>51</v>
      </c>
      <c r="AM86" s="1">
        <v>5</v>
      </c>
      <c r="AN86" s="1" t="s">
        <v>52</v>
      </c>
      <c r="AO86" s="1">
        <v>5</v>
      </c>
      <c r="AP86" s="1" t="s">
        <v>53</v>
      </c>
      <c r="AQ86" s="1">
        <v>5</v>
      </c>
      <c r="AR86" s="1" t="s">
        <v>54</v>
      </c>
      <c r="AS86" s="1">
        <v>5</v>
      </c>
      <c r="AT86" s="4">
        <f>Table13[[#This Row],[PM]]+Table13[[#This Row],[QM]]+Table13[[#This Row],[RM]]+Table13[[#This Row],[SM]]</f>
        <v>20</v>
      </c>
      <c r="AU86" s="5">
        <f>Table13[[#This Row],[TOT1]]+Table13[[#This Row],[TOT2]]+Table13[[#This Row],[TOT3]]</f>
        <v>100</v>
      </c>
      <c r="AV86" s="1"/>
    </row>
    <row r="87" spans="1:48">
      <c r="A87" s="12">
        <v>34</v>
      </c>
      <c r="B87" s="1">
        <v>86</v>
      </c>
      <c r="C87" s="1" t="s">
        <v>34</v>
      </c>
      <c r="D87" s="1" t="s">
        <v>96</v>
      </c>
      <c r="E87" s="1">
        <v>0.06</v>
      </c>
      <c r="F87" s="1">
        <v>18</v>
      </c>
      <c r="G87" s="1">
        <v>10</v>
      </c>
      <c r="H87" s="1">
        <v>18</v>
      </c>
      <c r="I87" s="1">
        <v>10</v>
      </c>
      <c r="J87" s="1">
        <v>20</v>
      </c>
      <c r="K87" s="1">
        <v>10</v>
      </c>
      <c r="L87" s="1">
        <v>16</v>
      </c>
      <c r="M87" s="1">
        <v>10</v>
      </c>
      <c r="N87" s="1">
        <v>35</v>
      </c>
      <c r="O87" s="1">
        <v>10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87" s="1" t="s">
        <v>44</v>
      </c>
      <c r="AB87" s="1">
        <v>10</v>
      </c>
      <c r="AC87" s="1" t="s">
        <v>50</v>
      </c>
      <c r="AD87" s="1">
        <v>10</v>
      </c>
      <c r="AE87" s="1" t="s">
        <v>65</v>
      </c>
      <c r="AF87" s="1">
        <v>10</v>
      </c>
      <c r="AG87" s="1"/>
      <c r="AH87" s="1"/>
      <c r="AI87" s="1"/>
      <c r="AJ87" s="1"/>
      <c r="AK87" s="4">
        <f>Table13[[#This Row],[KM]]+Table13[[#This Row],[LM]]+Table13[[#This Row],[MM]]+Table13[[#This Row],[NM]]+Table13[[#This Row],[OM]]</f>
        <v>30</v>
      </c>
      <c r="AL87" s="1" t="s">
        <v>51</v>
      </c>
      <c r="AM87" s="1">
        <v>5</v>
      </c>
      <c r="AN87" s="1" t="s">
        <v>52</v>
      </c>
      <c r="AO87" s="1">
        <v>5</v>
      </c>
      <c r="AP87" s="1" t="s">
        <v>53</v>
      </c>
      <c r="AQ87" s="1">
        <v>5</v>
      </c>
      <c r="AR87" s="1" t="s">
        <v>54</v>
      </c>
      <c r="AS87" s="1">
        <v>5</v>
      </c>
      <c r="AT87" s="4">
        <f>Table13[[#This Row],[PM]]+Table13[[#This Row],[QM]]+Table13[[#This Row],[RM]]+Table13[[#This Row],[SM]]</f>
        <v>20</v>
      </c>
      <c r="AU87" s="5">
        <f>Table13[[#This Row],[TOT1]]+Table13[[#This Row],[TOT2]]+Table13[[#This Row],[TOT3]]</f>
        <v>100</v>
      </c>
      <c r="AV87" s="1"/>
    </row>
    <row r="88" spans="1:48">
      <c r="A88" s="12">
        <v>35</v>
      </c>
      <c r="B88" s="1">
        <v>87</v>
      </c>
      <c r="C88" s="1" t="s">
        <v>35</v>
      </c>
      <c r="D88" s="1" t="s">
        <v>97</v>
      </c>
      <c r="E88" s="1">
        <v>0.06</v>
      </c>
      <c r="F88" s="1">
        <v>15</v>
      </c>
      <c r="G88" s="1">
        <v>10</v>
      </c>
      <c r="H88" s="1">
        <v>20</v>
      </c>
      <c r="I88" s="1">
        <v>10</v>
      </c>
      <c r="J88" s="1">
        <v>16</v>
      </c>
      <c r="K88" s="1">
        <v>10</v>
      </c>
      <c r="L88" s="1">
        <v>18</v>
      </c>
      <c r="M88" s="1">
        <v>10</v>
      </c>
      <c r="N88" s="1">
        <v>35</v>
      </c>
      <c r="O88" s="1">
        <v>10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88" s="1" t="s">
        <v>44</v>
      </c>
      <c r="AB88" s="1">
        <v>10</v>
      </c>
      <c r="AC88" s="1" t="s">
        <v>93</v>
      </c>
      <c r="AD88" s="1">
        <v>10</v>
      </c>
      <c r="AE88" s="1" t="s">
        <v>56</v>
      </c>
      <c r="AF88" s="1">
        <v>10</v>
      </c>
      <c r="AG88" s="1"/>
      <c r="AH88" s="1"/>
      <c r="AI88" s="1"/>
      <c r="AJ88" s="1"/>
      <c r="AK88" s="4">
        <f>Table13[[#This Row],[KM]]+Table13[[#This Row],[LM]]+Table13[[#This Row],[MM]]+Table13[[#This Row],[NM]]+Table13[[#This Row],[OM]]</f>
        <v>30</v>
      </c>
      <c r="AL88" s="1" t="s">
        <v>51</v>
      </c>
      <c r="AM88" s="1">
        <v>5</v>
      </c>
      <c r="AN88" s="1" t="s">
        <v>52</v>
      </c>
      <c r="AO88" s="1">
        <v>5</v>
      </c>
      <c r="AP88" s="1" t="s">
        <v>53</v>
      </c>
      <c r="AQ88" s="1">
        <v>5</v>
      </c>
      <c r="AR88" s="1" t="s">
        <v>54</v>
      </c>
      <c r="AS88" s="1">
        <v>5</v>
      </c>
      <c r="AT88" s="4">
        <f>Table13[[#This Row],[PM]]+Table13[[#This Row],[QM]]+Table13[[#This Row],[RM]]+Table13[[#This Row],[SM]]</f>
        <v>20</v>
      </c>
      <c r="AU88" s="5">
        <f>Table13[[#This Row],[TOT1]]+Table13[[#This Row],[TOT2]]+Table13[[#This Row],[TOT3]]</f>
        <v>100</v>
      </c>
      <c r="AV88" s="1"/>
    </row>
    <row r="89" spans="1:48">
      <c r="A89" s="12">
        <v>36</v>
      </c>
      <c r="B89" s="1">
        <v>88</v>
      </c>
      <c r="C89" s="1" t="s">
        <v>36</v>
      </c>
      <c r="D89" s="1" t="s">
        <v>98</v>
      </c>
      <c r="E89" s="1">
        <v>0.06</v>
      </c>
      <c r="F89" s="1">
        <v>25</v>
      </c>
      <c r="G89" s="1">
        <v>10</v>
      </c>
      <c r="H89" s="1">
        <v>73</v>
      </c>
      <c r="I89" s="1">
        <v>10</v>
      </c>
      <c r="J89" s="1">
        <v>9</v>
      </c>
      <c r="K89" s="1">
        <v>10</v>
      </c>
      <c r="L89" s="1">
        <v>9</v>
      </c>
      <c r="M89" s="1">
        <v>10</v>
      </c>
      <c r="N89" s="1">
        <v>15</v>
      </c>
      <c r="O89" s="1">
        <v>10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89" s="1" t="s">
        <v>44</v>
      </c>
      <c r="AB89" s="1">
        <v>10</v>
      </c>
      <c r="AC89" s="1" t="s">
        <v>50</v>
      </c>
      <c r="AD89" s="1">
        <v>10</v>
      </c>
      <c r="AE89" s="1" t="s">
        <v>65</v>
      </c>
      <c r="AF89" s="1">
        <v>10</v>
      </c>
      <c r="AG89" s="1"/>
      <c r="AH89" s="1"/>
      <c r="AI89" s="1"/>
      <c r="AJ89" s="1"/>
      <c r="AK89" s="4">
        <f>Table13[[#This Row],[KM]]+Table13[[#This Row],[LM]]+Table13[[#This Row],[MM]]+Table13[[#This Row],[NM]]+Table13[[#This Row],[OM]]</f>
        <v>30</v>
      </c>
      <c r="AL89" s="1" t="s">
        <v>51</v>
      </c>
      <c r="AM89" s="1">
        <v>5</v>
      </c>
      <c r="AN89" s="1" t="s">
        <v>52</v>
      </c>
      <c r="AO89" s="1">
        <v>5</v>
      </c>
      <c r="AP89" s="1" t="s">
        <v>53</v>
      </c>
      <c r="AQ89" s="1">
        <v>5</v>
      </c>
      <c r="AR89" s="1" t="s">
        <v>54</v>
      </c>
      <c r="AS89" s="1">
        <v>5</v>
      </c>
      <c r="AT89" s="4">
        <f>Table13[[#This Row],[PM]]+Table13[[#This Row],[QM]]+Table13[[#This Row],[RM]]+Table13[[#This Row],[SM]]</f>
        <v>20</v>
      </c>
      <c r="AU89" s="5">
        <f>Table13[[#This Row],[TOT1]]+Table13[[#This Row],[TOT2]]+Table13[[#This Row],[TOT3]]</f>
        <v>100</v>
      </c>
      <c r="AV89" s="1"/>
    </row>
    <row r="90" spans="1:48">
      <c r="A90" s="12">
        <v>37</v>
      </c>
      <c r="B90" s="1">
        <v>89</v>
      </c>
      <c r="C90" s="1" t="s">
        <v>37</v>
      </c>
      <c r="D90" s="1" t="s">
        <v>99</v>
      </c>
      <c r="E90" s="1">
        <v>0.06</v>
      </c>
      <c r="F90" s="1">
        <v>10</v>
      </c>
      <c r="G90" s="1">
        <v>10</v>
      </c>
      <c r="H90" s="1">
        <v>9</v>
      </c>
      <c r="I90" s="1">
        <v>10</v>
      </c>
      <c r="J90" s="1">
        <v>10</v>
      </c>
      <c r="K90" s="1">
        <v>10</v>
      </c>
      <c r="L90" s="1">
        <v>25</v>
      </c>
      <c r="M90" s="1">
        <v>10</v>
      </c>
      <c r="N90" s="1">
        <v>25</v>
      </c>
      <c r="O90" s="1">
        <v>10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90" s="1" t="s">
        <v>44</v>
      </c>
      <c r="AB90" s="1">
        <v>10</v>
      </c>
      <c r="AC90" s="1" t="s">
        <v>50</v>
      </c>
      <c r="AD90" s="1">
        <v>10</v>
      </c>
      <c r="AE90" s="1" t="s">
        <v>100</v>
      </c>
      <c r="AF90" s="1">
        <v>10</v>
      </c>
      <c r="AG90" s="1"/>
      <c r="AH90" s="1"/>
      <c r="AI90" s="1"/>
      <c r="AJ90" s="1"/>
      <c r="AK90" s="4">
        <f>Table13[[#This Row],[KM]]+Table13[[#This Row],[LM]]+Table13[[#This Row],[MM]]+Table13[[#This Row],[NM]]+Table13[[#This Row],[OM]]</f>
        <v>30</v>
      </c>
      <c r="AL90" s="1" t="s">
        <v>51</v>
      </c>
      <c r="AM90" s="1">
        <v>5</v>
      </c>
      <c r="AN90" s="1" t="s">
        <v>52</v>
      </c>
      <c r="AO90" s="1">
        <v>5</v>
      </c>
      <c r="AP90" s="1" t="s">
        <v>53</v>
      </c>
      <c r="AQ90" s="1">
        <v>5</v>
      </c>
      <c r="AR90" s="1" t="s">
        <v>54</v>
      </c>
      <c r="AS90" s="1">
        <v>5</v>
      </c>
      <c r="AT90" s="4">
        <f>Table13[[#This Row],[PM]]+Table13[[#This Row],[QM]]+Table13[[#This Row],[RM]]+Table13[[#This Row],[SM]]</f>
        <v>20</v>
      </c>
      <c r="AU90" s="5">
        <f>Table13[[#This Row],[TOT1]]+Table13[[#This Row],[TOT2]]+Table13[[#This Row],[TOT3]]</f>
        <v>100</v>
      </c>
      <c r="AV90" s="1"/>
    </row>
    <row r="91" spans="1:48">
      <c r="A91" s="12">
        <v>38</v>
      </c>
      <c r="B91" s="1">
        <v>90</v>
      </c>
      <c r="C91" s="1" t="s">
        <v>38</v>
      </c>
      <c r="D91" s="1" t="s">
        <v>101</v>
      </c>
      <c r="E91" s="1">
        <v>0.06</v>
      </c>
      <c r="F91" s="1">
        <v>95</v>
      </c>
      <c r="G91" s="1">
        <v>10</v>
      </c>
      <c r="H91" s="1">
        <v>10</v>
      </c>
      <c r="I91" s="1">
        <v>10</v>
      </c>
      <c r="J91" s="1">
        <v>15</v>
      </c>
      <c r="K91" s="1">
        <v>10</v>
      </c>
      <c r="L91" s="1">
        <v>10</v>
      </c>
      <c r="M91" s="1">
        <v>10</v>
      </c>
      <c r="N91" s="1">
        <v>30</v>
      </c>
      <c r="O91" s="1">
        <v>10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91" s="1" t="s">
        <v>43</v>
      </c>
      <c r="AB91" s="1">
        <v>10</v>
      </c>
      <c r="AC91" s="1" t="s">
        <v>50</v>
      </c>
      <c r="AD91" s="1">
        <v>10</v>
      </c>
      <c r="AE91" s="1" t="s">
        <v>65</v>
      </c>
      <c r="AF91" s="1">
        <v>10</v>
      </c>
      <c r="AG91" s="1"/>
      <c r="AH91" s="1"/>
      <c r="AI91" s="1"/>
      <c r="AJ91" s="1"/>
      <c r="AK91" s="4">
        <f>Table13[[#This Row],[KM]]+Table13[[#This Row],[LM]]+Table13[[#This Row],[MM]]+Table13[[#This Row],[NM]]+Table13[[#This Row],[OM]]</f>
        <v>30</v>
      </c>
      <c r="AL91" s="1" t="s">
        <v>51</v>
      </c>
      <c r="AM91" s="1">
        <v>5</v>
      </c>
      <c r="AN91" s="1" t="s">
        <v>52</v>
      </c>
      <c r="AO91" s="1">
        <v>5</v>
      </c>
      <c r="AP91" s="1" t="s">
        <v>53</v>
      </c>
      <c r="AQ91" s="1">
        <v>5</v>
      </c>
      <c r="AR91" s="1" t="s">
        <v>54</v>
      </c>
      <c r="AS91" s="1">
        <v>5</v>
      </c>
      <c r="AT91" s="4">
        <f>Table13[[#This Row],[PM]]+Table13[[#This Row],[QM]]+Table13[[#This Row],[RM]]+Table13[[#This Row],[SM]]</f>
        <v>20</v>
      </c>
      <c r="AU91" s="5">
        <f>Table13[[#This Row],[TOT1]]+Table13[[#This Row],[TOT2]]+Table13[[#This Row],[TOT3]]</f>
        <v>100</v>
      </c>
      <c r="AV91" s="1"/>
    </row>
    <row r="92" spans="1:48">
      <c r="A92" s="12">
        <v>39</v>
      </c>
      <c r="B92" s="1">
        <v>91</v>
      </c>
      <c r="C92" s="1" t="s">
        <v>39</v>
      </c>
      <c r="D92" s="1" t="s">
        <v>102</v>
      </c>
      <c r="E92" s="1">
        <v>0.06</v>
      </c>
      <c r="F92" s="1">
        <v>95</v>
      </c>
      <c r="G92" s="1">
        <v>10</v>
      </c>
      <c r="H92" s="1">
        <v>12</v>
      </c>
      <c r="I92" s="1">
        <v>10</v>
      </c>
      <c r="J92" s="1">
        <v>30</v>
      </c>
      <c r="K92" s="1">
        <v>10</v>
      </c>
      <c r="L92" s="1">
        <v>35</v>
      </c>
      <c r="M92" s="1">
        <v>10</v>
      </c>
      <c r="N92" s="1">
        <v>9</v>
      </c>
      <c r="O92" s="1">
        <v>10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92" s="1" t="s">
        <v>44</v>
      </c>
      <c r="AB92" s="1">
        <v>10</v>
      </c>
      <c r="AC92" s="1" t="s">
        <v>50</v>
      </c>
      <c r="AD92" s="1">
        <v>10</v>
      </c>
      <c r="AE92" s="1" t="s">
        <v>56</v>
      </c>
      <c r="AF92" s="1">
        <v>10</v>
      </c>
      <c r="AG92" s="1"/>
      <c r="AH92" s="1"/>
      <c r="AI92" s="1"/>
      <c r="AJ92" s="1"/>
      <c r="AK92" s="4">
        <f>Table13[[#This Row],[KM]]+Table13[[#This Row],[LM]]+Table13[[#This Row],[MM]]+Table13[[#This Row],[NM]]+Table13[[#This Row],[OM]]</f>
        <v>30</v>
      </c>
      <c r="AL92" s="1" t="s">
        <v>51</v>
      </c>
      <c r="AM92" s="1">
        <v>5</v>
      </c>
      <c r="AN92" s="1" t="s">
        <v>52</v>
      </c>
      <c r="AO92" s="1">
        <v>5</v>
      </c>
      <c r="AP92" s="1" t="s">
        <v>53</v>
      </c>
      <c r="AQ92" s="1">
        <v>5</v>
      </c>
      <c r="AR92" s="1" t="s">
        <v>54</v>
      </c>
      <c r="AS92" s="1">
        <v>5</v>
      </c>
      <c r="AT92" s="4">
        <f>Table13[[#This Row],[PM]]+Table13[[#This Row],[QM]]+Table13[[#This Row],[RM]]+Table13[[#This Row],[SM]]</f>
        <v>20</v>
      </c>
      <c r="AU92" s="5">
        <f>Table13[[#This Row],[TOT1]]+Table13[[#This Row],[TOT2]]+Table13[[#This Row],[TOT3]]</f>
        <v>100</v>
      </c>
      <c r="AV92" s="1"/>
    </row>
    <row r="93" spans="1:48">
      <c r="A93" s="12">
        <v>40</v>
      </c>
      <c r="B93" s="1">
        <v>92</v>
      </c>
      <c r="C93" s="1" t="s">
        <v>40</v>
      </c>
      <c r="D93" s="1" t="s">
        <v>103</v>
      </c>
      <c r="E93" s="1">
        <v>0.04</v>
      </c>
      <c r="F93" s="1">
        <v>12</v>
      </c>
      <c r="G93" s="1">
        <v>10</v>
      </c>
      <c r="H93" s="1">
        <v>10</v>
      </c>
      <c r="I93" s="1">
        <v>10</v>
      </c>
      <c r="J93" s="1">
        <v>12</v>
      </c>
      <c r="K93" s="1">
        <v>10</v>
      </c>
      <c r="L93" s="1">
        <v>10</v>
      </c>
      <c r="M93" s="1">
        <v>10</v>
      </c>
      <c r="N93" s="1">
        <v>62</v>
      </c>
      <c r="O93" s="1">
        <v>10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93" s="1" t="s">
        <v>43</v>
      </c>
      <c r="AB93" s="1">
        <v>10</v>
      </c>
      <c r="AC93" s="1" t="s">
        <v>44</v>
      </c>
      <c r="AD93" s="1">
        <v>10</v>
      </c>
      <c r="AE93" s="1" t="s">
        <v>65</v>
      </c>
      <c r="AF93" s="1">
        <v>10</v>
      </c>
      <c r="AG93" s="1"/>
      <c r="AH93" s="1"/>
      <c r="AI93" s="1"/>
      <c r="AJ93" s="1"/>
      <c r="AK93" s="4">
        <f>Table13[[#This Row],[KM]]+Table13[[#This Row],[LM]]+Table13[[#This Row],[MM]]+Table13[[#This Row],[NM]]+Table13[[#This Row],[OM]]</f>
        <v>30</v>
      </c>
      <c r="AL93" s="1" t="s">
        <v>51</v>
      </c>
      <c r="AM93" s="1">
        <v>5</v>
      </c>
      <c r="AN93" s="1" t="s">
        <v>52</v>
      </c>
      <c r="AO93" s="1">
        <v>5</v>
      </c>
      <c r="AP93" s="1" t="s">
        <v>53</v>
      </c>
      <c r="AQ93" s="1">
        <v>5</v>
      </c>
      <c r="AR93" s="1" t="s">
        <v>54</v>
      </c>
      <c r="AS93" s="1">
        <v>5</v>
      </c>
      <c r="AT93" s="4">
        <f>Table13[[#This Row],[PM]]+Table13[[#This Row],[QM]]+Table13[[#This Row],[RM]]+Table13[[#This Row],[SM]]</f>
        <v>20</v>
      </c>
      <c r="AU93" s="5">
        <f>Table13[[#This Row],[TOT1]]+Table13[[#This Row],[TOT2]]+Table13[[#This Row],[TOT3]]</f>
        <v>100</v>
      </c>
      <c r="AV93" s="1"/>
    </row>
    <row r="94" spans="1:48">
      <c r="A94" s="12">
        <v>41</v>
      </c>
      <c r="B94" s="1">
        <v>93</v>
      </c>
      <c r="C94" s="1" t="s">
        <v>41</v>
      </c>
      <c r="D94" s="1" t="s">
        <v>104</v>
      </c>
      <c r="E94" s="1">
        <v>0.04</v>
      </c>
      <c r="F94" s="1">
        <v>40</v>
      </c>
      <c r="G94" s="1">
        <v>10</v>
      </c>
      <c r="H94" s="1">
        <v>40</v>
      </c>
      <c r="I94" s="1">
        <v>10</v>
      </c>
      <c r="J94" s="1">
        <v>10</v>
      </c>
      <c r="K94" s="1">
        <v>10</v>
      </c>
      <c r="L94" s="1">
        <v>10</v>
      </c>
      <c r="M94" s="1">
        <v>10</v>
      </c>
      <c r="N94" s="1">
        <v>50</v>
      </c>
      <c r="O94" s="1">
        <v>10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50</v>
      </c>
      <c r="AA94" s="1" t="s">
        <v>44</v>
      </c>
      <c r="AB94" s="1">
        <v>10</v>
      </c>
      <c r="AC94" s="1" t="s">
        <v>93</v>
      </c>
      <c r="AD94" s="1">
        <v>10</v>
      </c>
      <c r="AE94" s="1" t="s">
        <v>56</v>
      </c>
      <c r="AF94" s="1">
        <v>10</v>
      </c>
      <c r="AG94" s="1"/>
      <c r="AH94" s="1"/>
      <c r="AI94" s="1"/>
      <c r="AJ94" s="1"/>
      <c r="AK94" s="4">
        <f>Table13[[#This Row],[KM]]+Table13[[#This Row],[LM]]+Table13[[#This Row],[MM]]+Table13[[#This Row],[NM]]+Table13[[#This Row],[OM]]</f>
        <v>30</v>
      </c>
      <c r="AL94" s="1" t="s">
        <v>51</v>
      </c>
      <c r="AM94" s="1">
        <v>5</v>
      </c>
      <c r="AN94" s="1" t="s">
        <v>52</v>
      </c>
      <c r="AO94" s="1">
        <v>5</v>
      </c>
      <c r="AP94" s="1" t="s">
        <v>53</v>
      </c>
      <c r="AQ94" s="1">
        <v>5</v>
      </c>
      <c r="AR94" s="1" t="s">
        <v>54</v>
      </c>
      <c r="AS94" s="1">
        <v>5</v>
      </c>
      <c r="AT94" s="4">
        <f>Table13[[#This Row],[PM]]+Table13[[#This Row],[QM]]+Table13[[#This Row],[RM]]+Table13[[#This Row],[SM]]</f>
        <v>20</v>
      </c>
      <c r="AU94" s="5">
        <f>Table13[[#This Row],[TOT1]]+Table13[[#This Row],[TOT2]]+Table13[[#This Row],[TOT3]]</f>
        <v>100</v>
      </c>
      <c r="AV94" s="1"/>
    </row>
    <row r="95" spans="1:48">
      <c r="A95" s="12">
        <v>42</v>
      </c>
      <c r="B95" s="1">
        <v>94</v>
      </c>
      <c r="C95" s="1"/>
      <c r="D95" s="1" t="s">
        <v>105</v>
      </c>
      <c r="E95" s="1">
        <v>0.04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4">
        <f>Table13[[#This Row],[KM]]+Table13[[#This Row],[LM]]+Table13[[#This Row],[MM]]+Table13[[#This Row],[NM]]+Table13[[#This Row],[OM]]</f>
        <v>0</v>
      </c>
      <c r="AL95" s="1" t="s">
        <v>51</v>
      </c>
      <c r="AM95" s="1">
        <v>5</v>
      </c>
      <c r="AN95" s="1" t="s">
        <v>52</v>
      </c>
      <c r="AO95" s="1">
        <v>5</v>
      </c>
      <c r="AP95" s="1" t="s">
        <v>53</v>
      </c>
      <c r="AQ95" s="1">
        <v>5</v>
      </c>
      <c r="AR95" s="1" t="s">
        <v>54</v>
      </c>
      <c r="AS95" s="1">
        <v>5</v>
      </c>
      <c r="AT95" s="4">
        <f>Table13[[#This Row],[PM]]+Table13[[#This Row],[QM]]+Table13[[#This Row],[RM]]+Table13[[#This Row],[SM]]</f>
        <v>20</v>
      </c>
      <c r="AU95" s="5">
        <f>Table13[[#This Row],[TOT1]]+Table13[[#This Row],[TOT2]]+Table13[[#This Row],[TOT3]]</f>
        <v>20</v>
      </c>
      <c r="AV95" s="1"/>
    </row>
    <row r="96" spans="1:48">
      <c r="A96" s="12">
        <v>43</v>
      </c>
      <c r="B96" s="1">
        <v>95</v>
      </c>
      <c r="C96" s="1"/>
      <c r="D96" s="1" t="s">
        <v>106</v>
      </c>
      <c r="E96" s="1">
        <v>0.04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4">
        <f>Table13[[#This Row],[KM]]+Table13[[#This Row],[LM]]+Table13[[#This Row],[MM]]+Table13[[#This Row],[NM]]+Table13[[#This Row],[OM]]</f>
        <v>0</v>
      </c>
      <c r="AL96" s="1" t="s">
        <v>51</v>
      </c>
      <c r="AM96" s="1">
        <v>5</v>
      </c>
      <c r="AN96" s="1" t="s">
        <v>52</v>
      </c>
      <c r="AO96" s="1">
        <v>5</v>
      </c>
      <c r="AP96" s="1" t="s">
        <v>53</v>
      </c>
      <c r="AQ96" s="1">
        <v>5</v>
      </c>
      <c r="AR96" s="1" t="s">
        <v>54</v>
      </c>
      <c r="AS96" s="1">
        <v>5</v>
      </c>
      <c r="AT96" s="4">
        <f>Table13[[#This Row],[PM]]+Table13[[#This Row],[QM]]+Table13[[#This Row],[RM]]+Table13[[#This Row],[SM]]</f>
        <v>20</v>
      </c>
      <c r="AU96" s="5">
        <f>Table13[[#This Row],[TOT1]]+Table13[[#This Row],[TOT2]]+Table13[[#This Row],[TOT3]]</f>
        <v>20</v>
      </c>
      <c r="AV96" s="1"/>
    </row>
    <row r="97" spans="1:48">
      <c r="A97" s="12">
        <v>44</v>
      </c>
      <c r="B97" s="1">
        <v>96</v>
      </c>
      <c r="C97" s="1"/>
      <c r="D97" s="1" t="s">
        <v>107</v>
      </c>
      <c r="E97" s="1">
        <v>0.04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4">
        <f>Table13[[#This Row],[KM]]+Table13[[#This Row],[LM]]+Table13[[#This Row],[MM]]+Table13[[#This Row],[NM]]+Table13[[#This Row],[OM]]</f>
        <v>0</v>
      </c>
      <c r="AL97" s="1" t="s">
        <v>51</v>
      </c>
      <c r="AM97" s="1">
        <v>5</v>
      </c>
      <c r="AN97" s="1" t="s">
        <v>52</v>
      </c>
      <c r="AO97" s="1">
        <v>5</v>
      </c>
      <c r="AP97" s="1" t="s">
        <v>53</v>
      </c>
      <c r="AQ97" s="1">
        <v>5</v>
      </c>
      <c r="AR97" s="1" t="s">
        <v>54</v>
      </c>
      <c r="AS97" s="1">
        <v>5</v>
      </c>
      <c r="AT97" s="4">
        <f>Table13[[#This Row],[PM]]+Table13[[#This Row],[QM]]+Table13[[#This Row],[RM]]+Table13[[#This Row],[SM]]</f>
        <v>20</v>
      </c>
      <c r="AU97" s="5">
        <f>Table13[[#This Row],[TOT1]]+Table13[[#This Row],[TOT2]]+Table13[[#This Row],[TOT3]]</f>
        <v>20</v>
      </c>
      <c r="AV97" s="1"/>
    </row>
    <row r="98" spans="1:48">
      <c r="A98" s="12">
        <v>45</v>
      </c>
      <c r="B98" s="1">
        <v>97</v>
      </c>
      <c r="C98" s="1"/>
      <c r="D98" s="1" t="s">
        <v>108</v>
      </c>
      <c r="E98" s="1">
        <v>0.04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4">
        <f>Table13[[#This Row],[KM]]+Table13[[#This Row],[LM]]+Table13[[#This Row],[MM]]+Table13[[#This Row],[NM]]+Table13[[#This Row],[OM]]</f>
        <v>0</v>
      </c>
      <c r="AL98" s="1" t="s">
        <v>51</v>
      </c>
      <c r="AM98" s="1">
        <v>5</v>
      </c>
      <c r="AN98" s="1" t="s">
        <v>52</v>
      </c>
      <c r="AO98" s="1">
        <v>5</v>
      </c>
      <c r="AP98" s="1" t="s">
        <v>53</v>
      </c>
      <c r="AQ98" s="1">
        <v>5</v>
      </c>
      <c r="AR98" s="1" t="s">
        <v>54</v>
      </c>
      <c r="AS98" s="1">
        <v>5</v>
      </c>
      <c r="AT98" s="4">
        <f>Table13[[#This Row],[PM]]+Table13[[#This Row],[QM]]+Table13[[#This Row],[RM]]+Table13[[#This Row],[SM]]</f>
        <v>20</v>
      </c>
      <c r="AU98" s="5">
        <f>Table13[[#This Row],[TOT1]]+Table13[[#This Row],[TOT2]]+Table13[[#This Row],[TOT3]]</f>
        <v>20</v>
      </c>
      <c r="AV98" s="1"/>
    </row>
    <row r="99" spans="1:48">
      <c r="A99" s="12">
        <v>46</v>
      </c>
      <c r="B99" s="1">
        <v>98</v>
      </c>
      <c r="C99" s="1"/>
      <c r="D99" s="1" t="s">
        <v>109</v>
      </c>
      <c r="E99" s="1">
        <v>0.04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4">
        <f>Table13[[#This Row],[KM]]+Table13[[#This Row],[LM]]+Table13[[#This Row],[MM]]+Table13[[#This Row],[NM]]+Table13[[#This Row],[OM]]</f>
        <v>0</v>
      </c>
      <c r="AL99" s="1" t="s">
        <v>51</v>
      </c>
      <c r="AM99" s="1">
        <v>5</v>
      </c>
      <c r="AN99" s="1" t="s">
        <v>52</v>
      </c>
      <c r="AO99" s="1">
        <v>5</v>
      </c>
      <c r="AP99" s="1" t="s">
        <v>53</v>
      </c>
      <c r="AQ99" s="1">
        <v>5</v>
      </c>
      <c r="AR99" s="1" t="s">
        <v>54</v>
      </c>
      <c r="AS99" s="1">
        <v>5</v>
      </c>
      <c r="AT99" s="4">
        <f>Table13[[#This Row],[PM]]+Table13[[#This Row],[QM]]+Table13[[#This Row],[RM]]+Table13[[#This Row],[SM]]</f>
        <v>20</v>
      </c>
      <c r="AU99" s="5">
        <f>Table13[[#This Row],[TOT1]]+Table13[[#This Row],[TOT2]]+Table13[[#This Row],[TOT3]]</f>
        <v>20</v>
      </c>
      <c r="AV99" s="1"/>
    </row>
    <row r="100" spans="1:48">
      <c r="A100" s="12">
        <v>47</v>
      </c>
      <c r="B100" s="1">
        <v>99</v>
      </c>
      <c r="C100" s="1"/>
      <c r="D100" s="1" t="s">
        <v>110</v>
      </c>
      <c r="E100" s="1">
        <v>0.04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4">
        <f>Table13[[#This Row],[KM]]+Table13[[#This Row],[LM]]+Table13[[#This Row],[MM]]+Table13[[#This Row],[NM]]+Table13[[#This Row],[OM]]</f>
        <v>0</v>
      </c>
      <c r="AL100" s="1" t="s">
        <v>51</v>
      </c>
      <c r="AM100" s="1">
        <v>5</v>
      </c>
      <c r="AN100" s="1" t="s">
        <v>52</v>
      </c>
      <c r="AO100" s="1">
        <v>5</v>
      </c>
      <c r="AP100" s="1" t="s">
        <v>53</v>
      </c>
      <c r="AQ100" s="1">
        <v>5</v>
      </c>
      <c r="AR100" s="1" t="s">
        <v>54</v>
      </c>
      <c r="AS100" s="1">
        <v>5</v>
      </c>
      <c r="AT100" s="4">
        <f>Table13[[#This Row],[PM]]+Table13[[#This Row],[QM]]+Table13[[#This Row],[RM]]+Table13[[#This Row],[SM]]</f>
        <v>20</v>
      </c>
      <c r="AU100" s="5">
        <f>Table13[[#This Row],[TOT1]]+Table13[[#This Row],[TOT2]]+Table13[[#This Row],[TOT3]]</f>
        <v>20</v>
      </c>
      <c r="AV100" s="1"/>
    </row>
    <row r="101" spans="1:48">
      <c r="A101" s="12">
        <v>48</v>
      </c>
      <c r="B101" s="1">
        <v>100</v>
      </c>
      <c r="C101" s="1"/>
      <c r="D101" s="1" t="s">
        <v>111</v>
      </c>
      <c r="E101" s="1">
        <v>0.04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4">
        <f>Table13[[#This Row],[KM]]+Table13[[#This Row],[LM]]+Table13[[#This Row],[MM]]+Table13[[#This Row],[NM]]+Table13[[#This Row],[OM]]</f>
        <v>0</v>
      </c>
      <c r="AL101" s="1" t="s">
        <v>51</v>
      </c>
      <c r="AM101" s="1">
        <v>5</v>
      </c>
      <c r="AN101" s="1" t="s">
        <v>52</v>
      </c>
      <c r="AO101" s="1">
        <v>5</v>
      </c>
      <c r="AP101" s="1" t="s">
        <v>53</v>
      </c>
      <c r="AQ101" s="1">
        <v>5</v>
      </c>
      <c r="AR101" s="1" t="s">
        <v>54</v>
      </c>
      <c r="AS101" s="1">
        <v>5</v>
      </c>
      <c r="AT101" s="4">
        <f>Table13[[#This Row],[PM]]+Table13[[#This Row],[QM]]+Table13[[#This Row],[RM]]+Table13[[#This Row],[SM]]</f>
        <v>20</v>
      </c>
      <c r="AU101" s="5">
        <f>Table13[[#This Row],[TOT1]]+Table13[[#This Row],[TOT2]]+Table13[[#This Row],[TOT3]]</f>
        <v>20</v>
      </c>
      <c r="AV101" s="1"/>
    </row>
    <row r="102" spans="1:48">
      <c r="A102" s="12">
        <v>49</v>
      </c>
      <c r="B102" s="1">
        <v>101</v>
      </c>
      <c r="C102" s="1"/>
      <c r="D102" s="1" t="s">
        <v>112</v>
      </c>
      <c r="E102" s="1">
        <v>0.04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4">
        <f>Table13[[#This Row],[KM]]+Table13[[#This Row],[LM]]+Table13[[#This Row],[MM]]+Table13[[#This Row],[NM]]+Table13[[#This Row],[OM]]</f>
        <v>0</v>
      </c>
      <c r="AL102" s="1" t="s">
        <v>51</v>
      </c>
      <c r="AM102" s="1">
        <v>5</v>
      </c>
      <c r="AN102" s="1" t="s">
        <v>52</v>
      </c>
      <c r="AO102" s="1">
        <v>5</v>
      </c>
      <c r="AP102" s="1" t="s">
        <v>53</v>
      </c>
      <c r="AQ102" s="1">
        <v>5</v>
      </c>
      <c r="AR102" s="1" t="s">
        <v>54</v>
      </c>
      <c r="AS102" s="1">
        <v>5</v>
      </c>
      <c r="AT102" s="4">
        <f>Table13[[#This Row],[PM]]+Table13[[#This Row],[QM]]+Table13[[#This Row],[RM]]+Table13[[#This Row],[SM]]</f>
        <v>20</v>
      </c>
      <c r="AU102" s="5">
        <f>Table13[[#This Row],[TOT1]]+Table13[[#This Row],[TOT2]]+Table13[[#This Row],[TOT3]]</f>
        <v>20</v>
      </c>
      <c r="AV102" s="1"/>
    </row>
    <row r="103" spans="1:48">
      <c r="A103" s="12">
        <v>50</v>
      </c>
      <c r="B103" s="1">
        <v>102</v>
      </c>
      <c r="C103" s="1"/>
      <c r="D103" s="1" t="s">
        <v>113</v>
      </c>
      <c r="E103" s="1">
        <v>0.04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4">
        <f>Table13[[#This Row],[KM]]+Table13[[#This Row],[LM]]+Table13[[#This Row],[MM]]+Table13[[#This Row],[NM]]+Table13[[#This Row],[OM]]</f>
        <v>0</v>
      </c>
      <c r="AL103" s="1" t="s">
        <v>51</v>
      </c>
      <c r="AM103" s="1">
        <v>5</v>
      </c>
      <c r="AN103" s="1" t="s">
        <v>52</v>
      </c>
      <c r="AO103" s="1">
        <v>5</v>
      </c>
      <c r="AP103" s="1" t="s">
        <v>53</v>
      </c>
      <c r="AQ103" s="1">
        <v>5</v>
      </c>
      <c r="AR103" s="1" t="s">
        <v>54</v>
      </c>
      <c r="AS103" s="1">
        <v>5</v>
      </c>
      <c r="AT103" s="4">
        <f>Table13[[#This Row],[PM]]+Table13[[#This Row],[QM]]+Table13[[#This Row],[RM]]+Table13[[#This Row],[SM]]</f>
        <v>20</v>
      </c>
      <c r="AU103" s="5">
        <f>Table13[[#This Row],[TOT1]]+Table13[[#This Row],[TOT2]]+Table13[[#This Row],[TOT3]]</f>
        <v>20</v>
      </c>
      <c r="AV103" s="1"/>
    </row>
    <row r="104" spans="1:48">
      <c r="A104" s="12">
        <v>51</v>
      </c>
      <c r="B104" s="1">
        <v>103</v>
      </c>
      <c r="C104" s="1"/>
      <c r="D104" s="1" t="s">
        <v>114</v>
      </c>
      <c r="E104" s="1">
        <v>0.04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4">
        <f>Table13[[#This Row],[KM]]+Table13[[#This Row],[LM]]+Table13[[#This Row],[MM]]+Table13[[#This Row],[NM]]+Table13[[#This Row],[OM]]</f>
        <v>0</v>
      </c>
      <c r="AL104" s="1" t="s">
        <v>51</v>
      </c>
      <c r="AM104" s="1">
        <v>5</v>
      </c>
      <c r="AN104" s="1" t="s">
        <v>52</v>
      </c>
      <c r="AO104" s="1">
        <v>5</v>
      </c>
      <c r="AP104" s="1" t="s">
        <v>53</v>
      </c>
      <c r="AQ104" s="1">
        <v>5</v>
      </c>
      <c r="AR104" s="1" t="s">
        <v>54</v>
      </c>
      <c r="AS104" s="1">
        <v>5</v>
      </c>
      <c r="AT104" s="4">
        <f>Table13[[#This Row],[PM]]+Table13[[#This Row],[QM]]+Table13[[#This Row],[RM]]+Table13[[#This Row],[SM]]</f>
        <v>20</v>
      </c>
      <c r="AU104" s="5">
        <f>Table13[[#This Row],[TOT1]]+Table13[[#This Row],[TOT2]]+Table13[[#This Row],[TOT3]]</f>
        <v>20</v>
      </c>
      <c r="AV104" s="1"/>
    </row>
    <row r="105" spans="1:48">
      <c r="A105" s="12">
        <v>52</v>
      </c>
      <c r="B105" s="15">
        <v>104</v>
      </c>
      <c r="C105" s="1"/>
      <c r="D105" s="15" t="s">
        <v>115</v>
      </c>
      <c r="E105" s="1">
        <v>0.04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4">
        <f>Table13[[#This Row],[KM]]+Table13[[#This Row],[LM]]+Table13[[#This Row],[MM]]+Table13[[#This Row],[NM]]+Table13[[#This Row],[OM]]</f>
        <v>0</v>
      </c>
      <c r="AL105" s="15" t="s">
        <v>51</v>
      </c>
      <c r="AM105" s="15">
        <v>5</v>
      </c>
      <c r="AN105" s="15" t="s">
        <v>52</v>
      </c>
      <c r="AO105" s="1">
        <v>5</v>
      </c>
      <c r="AP105" s="15" t="s">
        <v>53</v>
      </c>
      <c r="AQ105" s="1">
        <v>5</v>
      </c>
      <c r="AR105" s="15" t="s">
        <v>54</v>
      </c>
      <c r="AS105" s="1">
        <v>5</v>
      </c>
      <c r="AT105" s="4">
        <f>Table13[[#This Row],[PM]]+Table13[[#This Row],[QM]]+Table13[[#This Row],[RM]]+Table13[[#This Row],[SM]]</f>
        <v>20</v>
      </c>
      <c r="AU105" s="5">
        <f>Table13[[#This Row],[TOT1]]+Table13[[#This Row],[TOT2]]+Table13[[#This Row],[TOT3]]</f>
        <v>20</v>
      </c>
      <c r="AV105" s="1"/>
    </row>
    <row r="106" spans="1:48">
      <c r="A106" s="12">
        <v>53</v>
      </c>
      <c r="B106" s="15"/>
      <c r="C106" s="15"/>
      <c r="D106" s="15"/>
      <c r="E106" s="1">
        <v>0.04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3">
        <f>Table13[[#This Row],[AM]]+Table13[[#This Row],[BM]]+Table13[[#This Row],[CM]]+Table13[[#This Row],[DM]]+Table13[[#This Row],[EM]]+Table13[[#This Row],[FM]]+Table13[[#This Row],[GM]]+Table13[[#This Row],[HM]]+Table13[[#This Row],[IM]]+Table13[[#This Row],[JM]]</f>
        <v>0</v>
      </c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4">
        <f>Table13[[#This Row],[KM]]+Table13[[#This Row],[LM]]+Table13[[#This Row],[MM]]+Table13[[#This Row],[NM]]+Table13[[#This Row],[OM]]</f>
        <v>0</v>
      </c>
      <c r="AL106" s="15"/>
      <c r="AM106" s="15"/>
      <c r="AN106" s="15"/>
      <c r="AO106" s="15"/>
      <c r="AP106" s="15"/>
      <c r="AQ106" s="15"/>
      <c r="AR106" s="15"/>
      <c r="AS106" s="15"/>
      <c r="AT106" s="4">
        <f>Table13[[#This Row],[PM]]+Table13[[#This Row],[QM]]+Table13[[#This Row],[RM]]+Table13[[#This Row],[SM]]</f>
        <v>0</v>
      </c>
      <c r="AU106" s="5">
        <f>Table13[[#This Row],[TOT1]]+Table13[[#This Row],[TOT2]]+Table13[[#This Row],[TOT3]]</f>
        <v>0</v>
      </c>
      <c r="AV106" s="15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9217" r:id="rId3" name="ComboBox1">
          <controlPr defaultSize="0" autoLine="0" autoPict="0" r:id="rId4">
            <anchor moveWithCells="1">
              <from>
                <xdr:col>3</xdr:col>
                <xdr:colOff>0</xdr:colOff>
                <xdr:row>0</xdr:row>
                <xdr:rowOff>7620</xdr:rowOff>
              </from>
              <to>
                <xdr:col>3</xdr:col>
                <xdr:colOff>2499360</xdr:colOff>
                <xdr:row>0</xdr:row>
                <xdr:rowOff>137160</xdr:rowOff>
              </to>
            </anchor>
          </controlPr>
        </control>
      </mc:Choice>
      <mc:Fallback>
        <control shapeId="9217" r:id="rId3" name="ComboBox1"/>
      </mc:Fallback>
    </mc:AlternateContent>
    <mc:AlternateContent xmlns:mc="http://schemas.openxmlformats.org/markup-compatibility/2006">
      <mc:Choice Requires="x14">
        <control shapeId="9218" r:id="rId5" name="btnInsertJob">
          <controlPr defaultSize="0" autoLine="0" autoPict="0" r:id="rId6">
            <anchor moveWithCells="1">
              <from>
                <xdr:col>3</xdr:col>
                <xdr:colOff>2514600</xdr:colOff>
                <xdr:row>0</xdr:row>
                <xdr:rowOff>0</xdr:rowOff>
              </from>
              <to>
                <xdr:col>3</xdr:col>
                <xdr:colOff>2903220</xdr:colOff>
                <xdr:row>1</xdr:row>
                <xdr:rowOff>0</xdr:rowOff>
              </to>
            </anchor>
          </controlPr>
        </control>
      </mc:Choice>
      <mc:Fallback>
        <control shapeId="9218" r:id="rId5" name="btnInsertJob"/>
      </mc:Fallback>
    </mc:AlternateContent>
  </controls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68</vt:i4>
      </vt:variant>
    </vt:vector>
  </HeadingPairs>
  <TitlesOfParts>
    <vt:vector size="71" baseType="lpstr">
      <vt:lpstr>Wo_JV</vt:lpstr>
      <vt:lpstr>Trainees</vt:lpstr>
      <vt:lpstr>WO_Data_Jr</vt:lpstr>
      <vt:lpstr>WO_Data_Jr!A</vt:lpstr>
      <vt:lpstr>WO_Data_Jr!Aim</vt:lpstr>
      <vt:lpstr>WO_Data_Jr!AM</vt:lpstr>
      <vt:lpstr>Wo_JV!AspectMarks</vt:lpstr>
      <vt:lpstr>WO_Data_Jr!B</vt:lpstr>
      <vt:lpstr>WO_Data_Jr!BM</vt:lpstr>
      <vt:lpstr>WO_Data_Jr!C_</vt:lpstr>
      <vt:lpstr>WO_Data_Jr!CM</vt:lpstr>
      <vt:lpstr>WO_Data_Jr!D</vt:lpstr>
      <vt:lpstr>WO_Data_Jr!DM</vt:lpstr>
      <vt:lpstr>WO_Data_Jr!E</vt:lpstr>
      <vt:lpstr>WO_Data_Jr!EM</vt:lpstr>
      <vt:lpstr>WO_Data_Jr!F</vt:lpstr>
      <vt:lpstr>WO_Data_Jr!FM</vt:lpstr>
      <vt:lpstr>WO_Data_Jr!G</vt:lpstr>
      <vt:lpstr>WO_Data_Jr!GM</vt:lpstr>
      <vt:lpstr>WO_Data_Jr!H</vt:lpstr>
      <vt:lpstr>WO_Data_Jr!HM</vt:lpstr>
      <vt:lpstr>WO_Data_Jr!I</vt:lpstr>
      <vt:lpstr>WO_Data_Jr!IM</vt:lpstr>
      <vt:lpstr>WO_Data_Jr!J</vt:lpstr>
      <vt:lpstr>WO_Data_Jr!JM</vt:lpstr>
      <vt:lpstr>WO_Data_Jr!K</vt:lpstr>
      <vt:lpstr>WO_Data_Jr!KM</vt:lpstr>
      <vt:lpstr>WO_Data_Jr!L</vt:lpstr>
      <vt:lpstr>Wo_JV!LAM</vt:lpstr>
      <vt:lpstr>Wo_JV!LBM</vt:lpstr>
      <vt:lpstr>Wo_JV!LCM</vt:lpstr>
      <vt:lpstr>Wo_JV!LDM</vt:lpstr>
      <vt:lpstr>Wo_JV!LEM</vt:lpstr>
      <vt:lpstr>Wo_JV!LFM</vt:lpstr>
      <vt:lpstr>Wo_JV!LGM</vt:lpstr>
      <vt:lpstr>Wo_JV!LHM</vt:lpstr>
      <vt:lpstr>Wo_JV!LIM</vt:lpstr>
      <vt:lpstr>Wo_JV!LJM</vt:lpstr>
      <vt:lpstr>Wo_JV!LKM</vt:lpstr>
      <vt:lpstr>Wo_JV!LLM</vt:lpstr>
      <vt:lpstr>WO_Data_Jr!LM</vt:lpstr>
      <vt:lpstr>Wo_JV!LMM</vt:lpstr>
      <vt:lpstr>Wo_JV!LNM</vt:lpstr>
      <vt:lpstr>Wo_JV!LOM</vt:lpstr>
      <vt:lpstr>Wo_JV!LPM</vt:lpstr>
      <vt:lpstr>Wo_JV!LQM</vt:lpstr>
      <vt:lpstr>Wo_JV!LRM</vt:lpstr>
      <vt:lpstr>Wo_JV!LSM</vt:lpstr>
      <vt:lpstr>Wo_JV!LTol</vt:lpstr>
      <vt:lpstr>WO_Data_Jr!M</vt:lpstr>
      <vt:lpstr>WO_Data_Jr!MM</vt:lpstr>
      <vt:lpstr>WO_Data_Jr!N</vt:lpstr>
      <vt:lpstr>WO_Data_Jr!NM</vt:lpstr>
      <vt:lpstr>WO_Data_Jr!O</vt:lpstr>
      <vt:lpstr>Wo_JV!ObjMarks</vt:lpstr>
      <vt:lpstr>WO_Data_Jr!OM</vt:lpstr>
      <vt:lpstr>WO_Data_Jr!P</vt:lpstr>
      <vt:lpstr>WO_Data_Jr!PM</vt:lpstr>
      <vt:lpstr>WO_Data_Jr!Q</vt:lpstr>
      <vt:lpstr>WO_Data_Jr!QM</vt:lpstr>
      <vt:lpstr>WO_Data_Jr!R_</vt:lpstr>
      <vt:lpstr>WO_Data_Jr!RM</vt:lpstr>
      <vt:lpstr>WO_Data_Jr!S</vt:lpstr>
      <vt:lpstr>WO_Data_Jr!SM</vt:lpstr>
      <vt:lpstr>Wo_JV!SubMarks</vt:lpstr>
      <vt:lpstr>WO_Data_Jr!Tol</vt:lpstr>
      <vt:lpstr>WO_Data_Jr!TOT</vt:lpstr>
      <vt:lpstr>WO_Data_Jr!TOT1_</vt:lpstr>
      <vt:lpstr>WO_Data_Jr!TOT2_</vt:lpstr>
      <vt:lpstr>WO_Data_Jr!TOT3_</vt:lpstr>
      <vt:lpstr>Trainees_Name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Mahantesh Bhadrannavar</dc:creator>
  <cp:lastModifiedBy>Mahantesh Bhadrannavar</cp:lastModifiedBy>
  <cp:lastPrinted>2025-06-21T02:53:34Z</cp:lastPrinted>
  <dcterms:created xsi:type="dcterms:W3CDTF">2024-02-22T12:03:58Z</dcterms:created>
  <dcterms:modified xsi:type="dcterms:W3CDTF">2025-07-13T02:46:21Z</dcterms:modified>
</cp:coreProperties>
</file>